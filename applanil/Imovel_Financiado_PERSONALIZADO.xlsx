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Financi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00%"/>
    <numFmt numFmtId="166" formatCode="0.0%"/>
    <numFmt numFmtId="167" formatCode="DD/MM/YYYY"/>
  </numFmts>
  <fonts count="24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color rgb="FFFFFFFF"/>
      <sz val="12"/>
    </font>
    <font>
      <name val="Calibri"/>
      <b val="1"/>
      <color rgb="FFFFFFFF"/>
      <sz val="9"/>
    </font>
    <font>
      <name val="Calibri"/>
      <color rgb="FF003580"/>
      <sz val="10"/>
    </font>
    <font>
      <name val="Calibri"/>
      <b val="1"/>
      <color rgb="FF8338EC"/>
      <sz val="9"/>
    </font>
    <font>
      <name val="Calibri"/>
      <b val="1"/>
      <color rgb="FF8338EC"/>
      <sz val="10"/>
    </font>
    <font>
      <name val="Calibri"/>
      <b val="1"/>
      <color rgb="FFFFFFFF"/>
      <sz val="8"/>
    </font>
    <font>
      <name val="Calibri"/>
      <b val="1"/>
      <color rgb="FF2D2D2D"/>
      <sz val="8"/>
    </font>
    <font>
      <name val="Calibri"/>
      <b val="1"/>
      <color rgb="FF2D2D2D"/>
      <sz val="12"/>
    </font>
    <font>
      <name val="Calibri"/>
      <color rgb="FF1A3C6E"/>
      <sz val="9"/>
    </font>
    <font>
      <name val="Calibri"/>
      <b val="1"/>
      <color rgb="FF8338EC"/>
      <sz val="8"/>
    </font>
    <font>
      <name val="Calibri"/>
      <b val="1"/>
      <color rgb="FF1A3C6E"/>
      <sz val="9"/>
    </font>
    <font>
      <name val="Calibri"/>
      <b val="1"/>
      <color rgb="FF2D2D2D"/>
      <sz val="9"/>
    </font>
    <font>
      <name val="Calibri"/>
      <color rgb="FF047857"/>
      <sz val="9"/>
    </font>
    <font>
      <name val="Calibri"/>
      <color rgb="FF8B0000"/>
      <sz val="9"/>
    </font>
    <font>
      <name val="Calibri"/>
      <color rgb="FF003580"/>
      <sz val="9"/>
    </font>
    <font>
      <name val="Calibri"/>
      <color rgb="FF5C3000"/>
      <sz val="9"/>
    </font>
    <font>
      <name val="Calibri"/>
      <color rgb="FF006050"/>
      <sz val="9"/>
    </font>
    <font>
      <name val="Calibri"/>
      <b val="1"/>
      <color rgb="FFFFFFFF"/>
      <sz val="10"/>
    </font>
    <font>
      <name val="Calibri"/>
      <color rgb="FFFF6D00"/>
      <sz val="9"/>
    </font>
    <font>
      <name val="Calibri"/>
      <color rgb="FF1E7E34"/>
      <sz val="9"/>
    </font>
    <font>
      <name val="Calibri"/>
      <color rgb="FF9C6500"/>
      <sz val="9"/>
    </font>
    <font>
      <name val="Calibri"/>
      <color rgb="FFCC0000"/>
      <sz val="9"/>
    </font>
  </fonts>
  <fills count="28">
    <fill>
      <patternFill/>
    </fill>
    <fill>
      <patternFill patternType="gray125"/>
    </fill>
    <fill>
      <patternFill patternType="solid">
        <fgColor rgb="FF3A86FF"/>
      </patternFill>
    </fill>
    <fill>
      <patternFill patternType="solid">
        <fgColor rgb="FF2E75B6"/>
      </patternFill>
    </fill>
    <fill>
      <patternFill patternType="solid">
        <fgColor rgb="FF1A3C6E"/>
      </patternFill>
    </fill>
    <fill>
      <patternFill patternType="solid">
        <fgColor rgb="FF8338EC"/>
      </patternFill>
    </fill>
    <fill>
      <patternFill patternType="solid">
        <fgColor rgb="FFFFF3CC"/>
      </patternFill>
    </fill>
    <fill>
      <patternFill patternType="solid">
        <fgColor rgb="FFEDE7FF"/>
      </patternFill>
    </fill>
    <fill>
      <patternFill patternType="solid">
        <fgColor rgb="FF06D6A0"/>
      </patternFill>
    </fill>
    <fill>
      <patternFill patternType="solid">
        <fgColor rgb="FFFF6B6B"/>
      </patternFill>
    </fill>
    <fill>
      <patternFill patternType="solid">
        <fgColor rgb="FFFFBE0B"/>
      </patternFill>
    </fill>
    <fill>
      <patternFill patternType="solid">
        <fgColor rgb="FFFF6D00"/>
      </patternFill>
    </fill>
    <fill>
      <patternFill patternType="solid">
        <fgColor rgb="FFF0F7FF"/>
      </patternFill>
    </fill>
    <fill>
      <patternFill patternType="solid">
        <fgColor rgb="FFE8F4FF"/>
      </patternFill>
    </fill>
    <fill>
      <patternFill patternType="solid">
        <fgColor rgb="FFD0F5EC"/>
      </patternFill>
    </fill>
    <fill>
      <patternFill patternType="solid">
        <fgColor rgb="FFFFD6D6"/>
      </patternFill>
    </fill>
    <fill>
      <patternFill patternType="solid">
        <fgColor rgb="FFFFE5CC"/>
      </patternFill>
    </fill>
    <fill>
      <patternFill patternType="solid">
        <fgColor rgb="FFD5F5F3"/>
      </patternFill>
    </fill>
    <fill>
      <patternFill patternType="solid">
        <fgColor rgb="FFFFFFFF"/>
      </patternFill>
    </fill>
    <fill>
      <patternFill patternType="solid">
        <fgColor rgb="FFF5FAFF"/>
      </patternFill>
    </fill>
    <fill>
      <patternFill patternType="solid">
        <fgColor rgb="FFE0F9F2"/>
      </patternFill>
    </fill>
    <fill>
      <patternFill patternType="solid">
        <fgColor rgb="FFFFE8E8"/>
      </patternFill>
    </fill>
    <fill>
      <patternFill patternType="solid">
        <fgColor rgb="FFFFF0E0"/>
      </patternFill>
    </fill>
    <fill>
      <patternFill patternType="solid">
        <fgColor rgb="FF047857"/>
      </patternFill>
    </fill>
    <fill>
      <patternFill patternType="solid">
        <fgColor rgb="FFF0F0F0"/>
      </patternFill>
    </fill>
    <fill>
      <patternFill patternType="solid">
        <fgColor rgb="FFD6E8FF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0">
    <border>
      <left/>
      <right/>
      <top/>
      <bottom/>
      <diagonal/>
    </border>
    <border>
      <left style="thin">
        <color rgb="FF1A3C6E"/>
      </left>
      <right style="thin">
        <color rgb="FF1A3C6E"/>
      </right>
      <top style="thin">
        <color rgb="FF1A3C6E"/>
      </top>
      <bottom style="thin">
        <color rgb="FF1A3C6E"/>
      </bottom>
    </border>
    <border>
      <left/>
      <right/>
      <top style="thin">
        <color rgb="FF1A3C6E"/>
      </top>
      <bottom/>
      <diagonal/>
    </border>
    <border>
      <left/>
      <right style="thin">
        <color rgb="FF1A3C6E"/>
      </right>
      <top style="thin">
        <color rgb="FF1A3C6E"/>
      </top>
      <bottom/>
      <diagonal/>
    </border>
    <border>
      <left/>
      <right/>
      <top style="thin">
        <color rgb="FF1A3C6E"/>
      </top>
      <bottom style="thin">
        <color rgb="FF1A3C6E"/>
      </bottom>
      <diagonal/>
    </border>
    <border>
      <left/>
      <right style="thin">
        <color rgb="FF1A3C6E"/>
      </right>
      <top style="thin">
        <color rgb="FF1A3C6E"/>
      </top>
      <bottom style="thin">
        <color rgb="FF1A3C6E"/>
      </bottom>
      <diagonal/>
    </border>
    <border>
      <left style="medium">
        <color rgb="FF8338EC"/>
      </left>
      <right style="medium">
        <color rgb="FF8338EC"/>
      </right>
      <top style="medium">
        <color rgb="FF8338EC"/>
      </top>
      <bottom style="medium">
        <color rgb="FF8338EC"/>
      </bottom>
    </border>
    <border>
      <left/>
      <right/>
      <top style="medium">
        <color rgb="FF8338EC"/>
      </top>
      <bottom/>
      <diagonal/>
    </border>
    <border>
      <left/>
      <right style="medium">
        <color rgb="FF8338EC"/>
      </right>
      <top style="medium">
        <color rgb="FF8338EC"/>
      </top>
      <bottom/>
      <diagonal/>
    </border>
    <border>
      <left/>
      <right/>
      <top style="medium">
        <color rgb="FF8338EC"/>
      </top>
      <bottom style="medium">
        <color rgb="FF8338EC"/>
      </bottom>
      <diagonal/>
    </border>
    <border>
      <left/>
      <right style="medium">
        <color rgb="FF8338EC"/>
      </right>
      <top style="medium">
        <color rgb="FF8338EC"/>
      </top>
      <bottom style="medium">
        <color rgb="FF8338EC"/>
      </bottom>
      <diagonal/>
    </border>
    <border>
      <left style="thin">
        <color rgb="FF8338EC"/>
      </left>
      <right style="thin">
        <color rgb="FF8338EC"/>
      </right>
      <top style="thin">
        <color rgb="FF8338EC"/>
      </top>
      <bottom style="thin">
        <color rgb="FF8338EC"/>
      </bottom>
    </border>
    <border>
      <left/>
      <right/>
      <top style="thin">
        <color rgb="FF8338EC"/>
      </top>
      <bottom/>
      <diagonal/>
    </border>
    <border>
      <left/>
      <right style="thin">
        <color rgb="FF8338EC"/>
      </right>
      <top style="thin">
        <color rgb="FF8338EC"/>
      </top>
      <bottom/>
      <diagonal/>
    </border>
    <border>
      <left/>
      <right style="thin">
        <color rgb="FF8338EC"/>
      </right>
      <top style="thin">
        <color rgb="FF8338EC"/>
      </top>
      <bottom style="thin">
        <color rgb="FF8338EC"/>
      </bottom>
      <diagonal/>
    </border>
    <border>
      <left style="medium">
        <color rgb="FFFF6D00"/>
      </left>
      <right style="medium">
        <color rgb="FFFF6D00"/>
      </right>
      <top style="thin">
        <color rgb="FFAAAAAA"/>
      </top>
      <bottom style="thin">
        <color rgb="FFAAAAAA"/>
      </bottom>
    </border>
    <border>
      <left style="thin">
        <color rgb="FFCCBBEE"/>
      </left>
      <right style="thin">
        <color rgb="FFCCBBEE"/>
      </right>
      <top style="thin">
        <color rgb="FFCCBBEE"/>
      </top>
      <bottom style="thin">
        <color rgb="FFCCBBEE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AAAAAA"/>
      </top>
      <bottom/>
      <diagonal/>
    </border>
    <border>
      <left/>
      <right style="medium">
        <color rgb="FFFF6D00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FF6D00"/>
      </right>
      <top style="thin">
        <color rgb="FFAAAAAA"/>
      </top>
      <bottom style="thin">
        <color rgb="FFAAAAAA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/>
      <right/>
      <top style="medium">
        <color rgb="FF888888"/>
      </top>
      <bottom/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3A86FF"/>
      </left>
      <right style="medium">
        <color rgb="FF3A86FF"/>
      </right>
      <top style="medium">
        <color rgb="FF3A86FF"/>
      </top>
      <bottom style="medium">
        <color rgb="FF3A86FF"/>
      </bottom>
    </border>
    <border>
      <left style="thin">
        <color rgb="FFB0CCEE"/>
      </left>
      <right style="thin">
        <color rgb="FFB0CCEE"/>
      </right>
      <top style="thin">
        <color rgb="FFB0CCEE"/>
      </top>
      <bottom style="thin">
        <color rgb="FFB0CCEE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06D6A0"/>
      </left>
      <right style="thin">
        <color rgb="FF06D6A0"/>
      </right>
      <top style="thin">
        <color rgb="FF06D6A0"/>
      </top>
      <bottom style="thin">
        <color rgb="FF06D6A0"/>
      </bottom>
    </border>
    <border>
      <left style="thin">
        <color rgb="FFFF6B6B"/>
      </left>
      <right style="thin">
        <color rgb="FFFF6B6B"/>
      </right>
      <top style="thin">
        <color rgb="FFFF6B6B"/>
      </top>
      <bottom style="thin">
        <color rgb="FFFF6B6B"/>
      </bottom>
    </border>
    <border>
      <left style="thin">
        <color rgb="FFFF6D00"/>
      </left>
      <right style="thin">
        <color rgb="FFFF6D00"/>
      </right>
      <top style="thin">
        <color rgb="FFCCCCCC"/>
      </top>
      <bottom style="thin">
        <color rgb="FFCCCCCC"/>
      </bottom>
    </border>
    <border>
      <left style="thin">
        <color rgb="FFFF6D00"/>
      </left>
      <right style="thin">
        <color rgb="FFFF6D00"/>
      </right>
      <top style="thin">
        <color rgb="FFFF6D00"/>
      </top>
      <bottom style="thin">
        <color rgb="FFFF6D00"/>
      </bottom>
    </border>
    <border>
      <left style="thin">
        <color rgb="FF4ECDC4"/>
      </left>
      <right style="thin">
        <color rgb="FF4ECDC4"/>
      </right>
      <top style="thin">
        <color rgb="FF4ECDC4"/>
      </top>
      <bottom style="thin">
        <color rgb="FF4ECDC4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D0D0D0"/>
      </top>
      <bottom style="thin">
        <color rgb="FFD0D0D0"/>
      </bottom>
      <diagonal/>
    </border>
    <border>
      <left style="medium">
        <color rgb="FF047857"/>
      </left>
      <right style="medium">
        <color rgb="FF047857"/>
      </right>
      <top style="medium">
        <color rgb="FF047857"/>
      </top>
      <bottom style="medium">
        <color rgb="FF047857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0" fillId="2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3" borderId="0" pivotButton="0" quotePrefix="0" xfId="0"/>
    <xf numFmtId="0" fontId="2" fillId="5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3" fillId="5" borderId="11" applyAlignment="1" pivotButton="0" quotePrefix="0" xfId="0">
      <alignment horizontal="right" vertical="center"/>
    </xf>
    <xf numFmtId="0" fontId="0" fillId="0" borderId="14" pivotButton="0" quotePrefix="0" xfId="0"/>
    <xf numFmtId="164" fontId="4" fillId="6" borderId="15" applyAlignment="1" pivotButton="0" quotePrefix="0" xfId="0">
      <alignment horizontal="center" vertical="center"/>
    </xf>
    <xf numFmtId="0" fontId="3" fillId="5" borderId="0" applyAlignment="1" pivotButton="0" quotePrefix="0" xfId="0">
      <alignment horizontal="right" vertical="center"/>
    </xf>
    <xf numFmtId="0" fontId="4" fillId="6" borderId="15" applyAlignment="1" pivotButton="0" quotePrefix="0" xfId="0">
      <alignment horizontal="center" vertical="center"/>
    </xf>
    <xf numFmtId="0" fontId="0" fillId="7" borderId="16" pivotButton="0" quotePrefix="0" xfId="0"/>
    <xf numFmtId="0" fontId="5" fillId="7" borderId="17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1" fontId="4" fillId="6" borderId="15" applyAlignment="1" pivotButton="0" quotePrefix="0" xfId="0">
      <alignment horizontal="center" vertical="center"/>
    </xf>
    <xf numFmtId="164" fontId="6" fillId="7" borderId="6" applyAlignment="1" pivotButton="0" quotePrefix="0" xfId="0">
      <alignment horizontal="center" vertical="center"/>
    </xf>
    <xf numFmtId="165" fontId="4" fillId="6" borderId="15" applyAlignment="1" pivotButton="0" quotePrefix="0" xfId="0">
      <alignment horizontal="center" vertical="center"/>
    </xf>
    <xf numFmtId="0" fontId="7" fillId="8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7" fillId="2" borderId="25" applyAlignment="1" pivotButton="0" quotePrefix="0" xfId="0">
      <alignment horizontal="center" vertical="center" wrapText="1"/>
    </xf>
    <xf numFmtId="0" fontId="7" fillId="9" borderId="25" applyAlignment="1" pivotButton="0" quotePrefix="0" xfId="0">
      <alignment horizontal="center" vertical="center" wrapText="1"/>
    </xf>
    <xf numFmtId="0" fontId="8" fillId="10" borderId="25" applyAlignment="1" pivotButton="0" quotePrefix="0" xfId="0">
      <alignment horizontal="center" vertical="center" wrapText="1"/>
    </xf>
    <xf numFmtId="0" fontId="7" fillId="5" borderId="25" applyAlignment="1" pivotButton="0" quotePrefix="0" xfId="0">
      <alignment horizontal="center" vertical="center" wrapText="1"/>
    </xf>
    <xf numFmtId="0" fontId="7" fillId="11" borderId="25" applyAlignment="1" pivotButton="0" quotePrefix="0" xfId="0">
      <alignment horizontal="center" vertical="center" wrapText="1"/>
    </xf>
    <xf numFmtId="0" fontId="2" fillId="8" borderId="25" applyAlignment="1" pivotButton="0" quotePrefix="0" xfId="0">
      <alignment horizontal="center" vertical="center"/>
    </xf>
    <xf numFmtId="164" fontId="2" fillId="2" borderId="25" applyAlignment="1" pivotButton="0" quotePrefix="0" xfId="0">
      <alignment horizontal="center" vertical="center"/>
    </xf>
    <xf numFmtId="164" fontId="2" fillId="9" borderId="25" applyAlignment="1" pivotButton="0" quotePrefix="0" xfId="0">
      <alignment horizontal="center" vertical="center"/>
    </xf>
    <xf numFmtId="164" fontId="9" fillId="10" borderId="25" applyAlignment="1" pivotButton="0" quotePrefix="0" xfId="0">
      <alignment horizontal="center" vertical="center"/>
    </xf>
    <xf numFmtId="164" fontId="2" fillId="5" borderId="25" applyAlignment="1" pivotButton="0" quotePrefix="0" xfId="0">
      <alignment horizontal="center" vertical="center"/>
    </xf>
    <xf numFmtId="166" fontId="2" fillId="11" borderId="25" applyAlignment="1" pivotButton="0" quotePrefix="0" xfId="0">
      <alignment horizontal="center" vertical="center"/>
    </xf>
    <xf numFmtId="0" fontId="7" fillId="4" borderId="29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10" fillId="12" borderId="30" applyAlignment="1" pivotButton="0" quotePrefix="0" xfId="0">
      <alignment horizontal="center" vertical="center"/>
    </xf>
    <xf numFmtId="167" fontId="10" fillId="12" borderId="30" applyAlignment="1" pivotButton="0" quotePrefix="0" xfId="0">
      <alignment horizontal="center" vertical="center"/>
    </xf>
    <xf numFmtId="0" fontId="11" fillId="7" borderId="16" applyAlignment="1" pivotButton="0" quotePrefix="0" xfId="0">
      <alignment horizontal="center" vertical="center"/>
    </xf>
    <xf numFmtId="164" fontId="12" fillId="13" borderId="29" applyAlignment="1" pivotButton="0" quotePrefix="0" xfId="0">
      <alignment horizontal="center" vertical="center"/>
    </xf>
    <xf numFmtId="164" fontId="13" fillId="12" borderId="31" applyAlignment="1" pivotButton="0" quotePrefix="0" xfId="0">
      <alignment horizontal="center" vertical="center"/>
    </xf>
    <xf numFmtId="164" fontId="14" fillId="14" borderId="32" applyAlignment="1" pivotButton="0" quotePrefix="0" xfId="0">
      <alignment horizontal="center" vertical="center"/>
    </xf>
    <xf numFmtId="164" fontId="15" fillId="15" borderId="33" applyAlignment="1" pivotButton="0" quotePrefix="0" xfId="0">
      <alignment horizontal="center" vertical="center"/>
    </xf>
    <xf numFmtId="164" fontId="16" fillId="6" borderId="34" applyAlignment="1" pivotButton="0" quotePrefix="0" xfId="0">
      <alignment horizontal="center" vertical="center"/>
    </xf>
    <xf numFmtId="164" fontId="17" fillId="16" borderId="35" applyAlignment="1" pivotButton="0" quotePrefix="0" xfId="0">
      <alignment horizontal="center" vertical="center"/>
    </xf>
    <xf numFmtId="167" fontId="16" fillId="6" borderId="34" applyAlignment="1" pivotButton="0" quotePrefix="0" xfId="0">
      <alignment horizontal="center" vertical="center"/>
    </xf>
    <xf numFmtId="164" fontId="18" fillId="17" borderId="36" applyAlignment="1" pivotButton="0" quotePrefix="0" xfId="0">
      <alignment horizontal="center" vertical="center"/>
    </xf>
    <xf numFmtId="0" fontId="13" fillId="6" borderId="37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18" borderId="30" applyAlignment="1" pivotButton="0" quotePrefix="0" xfId="0">
      <alignment horizontal="center" vertical="center"/>
    </xf>
    <xf numFmtId="167" fontId="10" fillId="18" borderId="30" applyAlignment="1" pivotButton="0" quotePrefix="0" xfId="0">
      <alignment horizontal="center" vertical="center"/>
    </xf>
    <xf numFmtId="164" fontId="12" fillId="19" borderId="29" applyAlignment="1" pivotButton="0" quotePrefix="0" xfId="0">
      <alignment horizontal="center" vertical="center"/>
    </xf>
    <xf numFmtId="164" fontId="13" fillId="18" borderId="31" applyAlignment="1" pivotButton="0" quotePrefix="0" xfId="0">
      <alignment horizontal="center" vertical="center"/>
    </xf>
    <xf numFmtId="164" fontId="14" fillId="20" borderId="32" applyAlignment="1" pivotButton="0" quotePrefix="0" xfId="0">
      <alignment horizontal="center" vertical="center"/>
    </xf>
    <xf numFmtId="164" fontId="15" fillId="21" borderId="33" applyAlignment="1" pivotButton="0" quotePrefix="0" xfId="0">
      <alignment horizontal="center" vertical="center"/>
    </xf>
    <xf numFmtId="164" fontId="17" fillId="22" borderId="35" applyAlignment="1" pivotButton="0" quotePrefix="0" xfId="0">
      <alignment horizontal="center" vertical="center"/>
    </xf>
    <xf numFmtId="0" fontId="19" fillId="23" borderId="17" applyAlignment="1" pivotButton="0" quotePrefix="0" xfId="0">
      <alignment horizontal="center" vertical="center"/>
    </xf>
    <xf numFmtId="0" fontId="0" fillId="0" borderId="38" pivotButton="0" quotePrefix="0" xfId="0"/>
    <xf numFmtId="164" fontId="3" fillId="23" borderId="39" applyAlignment="1" pivotButton="0" quotePrefix="0" xfId="0">
      <alignment horizontal="center" vertical="center"/>
    </xf>
    <xf numFmtId="164" fontId="19" fillId="23" borderId="39" applyAlignment="1" pivotButton="0" quotePrefix="0" xfId="0">
      <alignment horizontal="center" vertical="center"/>
    </xf>
    <xf numFmtId="0" fontId="13" fillId="24" borderId="0" applyAlignment="1" pivotButton="0" quotePrefix="0" xfId="0">
      <alignment horizontal="left" vertical="center"/>
    </xf>
    <xf numFmtId="0" fontId="0" fillId="6" borderId="37" pivotButton="0" quotePrefix="0" xfId="0"/>
    <xf numFmtId="0" fontId="20" fillId="18" borderId="17" applyAlignment="1" pivotButton="0" quotePrefix="0" xfId="0">
      <alignment horizontal="left" vertical="center"/>
    </xf>
    <xf numFmtId="0" fontId="0" fillId="14" borderId="37" pivotButton="0" quotePrefix="0" xfId="0"/>
    <xf numFmtId="0" fontId="14" fillId="18" borderId="17" applyAlignment="1" pivotButton="0" quotePrefix="0" xfId="0">
      <alignment horizontal="left" vertical="center"/>
    </xf>
    <xf numFmtId="0" fontId="0" fillId="15" borderId="37" pivotButton="0" quotePrefix="0" xfId="0"/>
    <xf numFmtId="0" fontId="15" fillId="18" borderId="17" applyAlignment="1" pivotButton="0" quotePrefix="0" xfId="0">
      <alignment horizontal="left" vertical="center"/>
    </xf>
    <xf numFmtId="0" fontId="0" fillId="25" borderId="37" pivotButton="0" quotePrefix="0" xfId="0"/>
    <xf numFmtId="0" fontId="10" fillId="18" borderId="17" applyAlignment="1" pivotButton="0" quotePrefix="0" xfId="0">
      <alignment horizontal="left" vertical="center"/>
    </xf>
    <xf numFmtId="0" fontId="0" fillId="26" borderId="37" pivotButton="0" quotePrefix="0" xfId="0"/>
    <xf numFmtId="0" fontId="21" fillId="18" borderId="17" applyAlignment="1" pivotButton="0" quotePrefix="0" xfId="0">
      <alignment horizontal="left" vertical="center"/>
    </xf>
    <xf numFmtId="0" fontId="0" fillId="27" borderId="37" pivotButton="0" quotePrefix="0" xfId="0"/>
    <xf numFmtId="0" fontId="22" fillId="18" borderId="17" applyAlignment="1" pivotButton="0" quotePrefix="0" xfId="0">
      <alignment horizontal="left" vertical="center"/>
    </xf>
    <xf numFmtId="0" fontId="23" fillId="18" borderId="17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Calibri"/>
        <b val="1"/>
        <color rgb="FF1E7E34"/>
      </font>
      <fill>
        <patternFill patternType="solid">
          <fgColor rgb="FFC6EFCE"/>
        </patternFill>
      </fill>
    </dxf>
    <dxf>
      <font>
        <name val="Calibri"/>
        <b val="1"/>
        <color rgb="FFCC0000"/>
      </font>
      <fill>
        <patternFill patternType="solid">
          <fgColor rgb="FFFFD6D6"/>
        </patternFill>
      </fill>
    </dxf>
    <dxf>
      <font>
        <name val="Calibri"/>
        <b val="1"/>
        <color rgb="FF9C6500"/>
      </font>
      <fill>
        <patternFill patternType="solid">
          <fgColor rgb="FFFFEB9C"/>
        </patternFill>
      </fill>
    </dxf>
    <dxf>
      <font>
        <name val="Calibri"/>
        <color rgb="FF1E7E34"/>
      </font>
      <fill>
        <patternFill patternType="solid">
          <fgColor rgb="FFE8FF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86FF"/>
    <outlinePr summaryBelow="1" summaryRight="1"/>
    <pageSetUpPr/>
  </sheetPr>
  <dimension ref="A1:O449"/>
  <sheetViews>
    <sheetView showGridLines="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1" customWidth="1" min="3" max="3"/>
    <col width="11" customWidth="1" min="4" max="4"/>
    <col width="8" customWidth="1" min="5" max="5"/>
    <col width="17" customWidth="1" min="6" max="6"/>
    <col width="14" customWidth="1" min="7" max="7"/>
    <col width="14" customWidth="1" min="8" max="8"/>
    <col width="13" customWidth="1" min="9" max="9"/>
    <col width="14" customWidth="1" min="10" max="10"/>
    <col width="11" customWidth="1" min="11" max="11"/>
    <col width="11" customWidth="1" min="12" max="12"/>
    <col width="13" customWidth="1" min="13" max="13"/>
    <col width="13" customWidth="1" min="14" max="14"/>
    <col width="14" customWidth="1" min="15" max="15"/>
  </cols>
  <sheetData>
    <row r="1" ht="50" customHeight="1">
      <c r="A1" s="1" t="n"/>
      <c r="B1" s="2" t="inlineStr">
        <is>
          <t>🏠  TABELA DE AMORTIZAÇÃO DO FINANCIAMENTO IMOBILIÁRIO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</row>
    <row r="2" ht="8" customHeight="1">
      <c r="A2" s="5" t="n"/>
    </row>
    <row r="3" ht="26" customHeight="1">
      <c r="A3" s="1" t="n"/>
      <c r="B3" s="6" t="inlineStr">
        <is>
          <t>⚙️  CONFIGURAÇÕES DO FINANCIAMENTO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</row>
    <row r="4" ht="18" customHeight="1">
      <c r="A4" s="5" t="n"/>
      <c r="B4" s="9" t="inlineStr">
        <is>
          <t>💰 Valor Financiado (R$):</t>
        </is>
      </c>
      <c r="C4" s="10" t="n"/>
      <c r="D4" s="11" t="n"/>
      <c r="F4" s="12" t="inlineStr">
        <is>
          <t>🏦 Sistema:</t>
        </is>
      </c>
      <c r="H4" s="13" t="inlineStr">
        <is>
          <t>SAC</t>
        </is>
      </c>
      <c r="I4" s="14" t="n"/>
      <c r="J4" s="15" t="inlineStr">
        <is>
          <t>📋 Parcela PRICE:</t>
        </is>
      </c>
      <c r="K4" s="16" t="n"/>
      <c r="L4" s="11" t="n"/>
      <c r="M4" s="17" t="n"/>
      <c r="N4" s="18" t="n"/>
    </row>
    <row r="5" ht="18" customHeight="1">
      <c r="A5" s="1" t="n"/>
      <c r="B5" s="9" t="inlineStr">
        <is>
          <t>📅 Mês/Ano de Início:</t>
        </is>
      </c>
      <c r="C5" s="10" t="n"/>
      <c r="D5" s="13" t="inlineStr">
        <is>
          <t>Jan/2025</t>
        </is>
      </c>
      <c r="F5" s="12" t="inlineStr">
        <is>
          <t>🛡️ Seguro Mensal (R$):</t>
        </is>
      </c>
      <c r="H5" s="11" t="n"/>
      <c r="I5" s="14" t="n"/>
      <c r="J5" s="15" t="inlineStr">
        <is>
          <t>📋 Parcela SAC (1ª):</t>
        </is>
      </c>
      <c r="K5" s="16" t="n"/>
      <c r="L5" s="11" t="n"/>
      <c r="M5" s="17" t="n"/>
      <c r="N5" s="18" t="n"/>
    </row>
    <row r="6" ht="18" customHeight="1">
      <c r="A6" s="5" t="n"/>
      <c r="B6" s="9" t="inlineStr">
        <is>
          <t>⏳ Prazo (meses):</t>
        </is>
      </c>
      <c r="C6" s="10" t="n"/>
      <c r="D6" s="19" t="n">
        <v>360</v>
      </c>
      <c r="F6" s="12" t="inlineStr">
        <is>
          <t>📊 Amortização Adicional Padrão:</t>
        </is>
      </c>
      <c r="H6" s="11" t="n"/>
      <c r="I6" s="14" t="n"/>
      <c r="J6" s="15" t="inlineStr">
        <is>
          <t>💰 Total a Pagar:</t>
        </is>
      </c>
      <c r="K6" s="16" t="n"/>
      <c r="L6" s="20">
        <f>IFERROR(IF(H4="PRICE",-PMT(D7,D6,D4)*D6,((D4/D6)+D4*D7+(D4/D6+0)*D6)/2),"—")</f>
        <v/>
      </c>
      <c r="M6" s="7" t="n"/>
      <c r="N6" s="8" t="n"/>
    </row>
    <row r="7" ht="18" customHeight="1">
      <c r="A7" s="1" t="n"/>
      <c r="B7" s="9" t="inlineStr">
        <is>
          <t>📈 Taxa de Juros (% a.m.):</t>
        </is>
      </c>
      <c r="C7" s="10" t="n"/>
      <c r="D7" s="21" t="n"/>
      <c r="F7" s="12" t="inlineStr"/>
      <c r="I7" s="14" t="n"/>
      <c r="J7" s="15" t="inlineStr">
        <is>
          <t>💸 Total de Juros:</t>
        </is>
      </c>
      <c r="K7" s="16" t="n"/>
      <c r="L7" s="20">
        <f>IFERROR(L6-D4,"—")</f>
        <v/>
      </c>
      <c r="M7" s="7" t="n"/>
      <c r="N7" s="8" t="n"/>
    </row>
    <row r="8" ht="6" customHeight="1">
      <c r="A8" s="5" t="n"/>
    </row>
    <row r="9" ht="6" customHeight="1">
      <c r="A9" s="1" t="n"/>
    </row>
    <row r="10" ht="28" customHeight="1">
      <c r="A10" s="5" t="n"/>
      <c r="B10" s="22" t="inlineStr">
        <is>
          <t>✅ PARCELAS PAGAS</t>
        </is>
      </c>
      <c r="C10" s="23" t="n"/>
      <c r="D10" s="24" t="inlineStr">
        <is>
          <t>💰 TOTAL AMORTIZADO</t>
        </is>
      </c>
      <c r="E10" s="23" t="n"/>
      <c r="F10" s="25" t="inlineStr">
        <is>
          <t>💸 TOTAL JUROS PAGOS</t>
        </is>
      </c>
      <c r="G10" s="23" t="n"/>
      <c r="H10" s="26" t="inlineStr">
        <is>
          <t>🛡️ TOTAL SEGUROS</t>
        </is>
      </c>
      <c r="I10" s="23" t="n"/>
      <c r="J10" s="27" t="inlineStr">
        <is>
          <t>📊 SALDO DEVEDOR ATUAL</t>
        </is>
      </c>
      <c r="K10" s="23" t="n"/>
      <c r="L10" s="28" t="inlineStr">
        <is>
          <t>📈 % QUITADO</t>
        </is>
      </c>
      <c r="M10" s="23" t="n"/>
    </row>
    <row r="11" ht="28" customHeight="1">
      <c r="A11" s="1" t="n"/>
      <c r="B11" s="29">
        <f>COUNTIF(N13:N412,"✅ PAGO")</f>
        <v/>
      </c>
      <c r="C11" s="23" t="n"/>
      <c r="D11" s="30">
        <f>IFERROR(SUM(H13:H412)+SUM(J13:J412),0)</f>
        <v/>
      </c>
      <c r="E11" s="23" t="n"/>
      <c r="F11" s="31">
        <f>IFERROR(SUM(I13:I412),0)</f>
        <v/>
      </c>
      <c r="G11" s="23" t="n"/>
      <c r="H11" s="32">
        <f>IFERROR(SUM(K13:K412),0)</f>
        <v/>
      </c>
      <c r="I11" s="23" t="n"/>
      <c r="J11" s="33">
        <f>IFERROR(F13,0)</f>
        <v/>
      </c>
      <c r="K11" s="23" t="n"/>
      <c r="L11" s="34">
        <f>IFERROR(1-F13/D4,"—")</f>
        <v/>
      </c>
      <c r="M11" s="23" t="n"/>
    </row>
    <row r="12" ht="8" customHeight="1">
      <c r="A12" s="5" t="n"/>
    </row>
    <row r="13" ht="30" customHeight="1">
      <c r="A13" s="1" t="n"/>
      <c r="B13" s="35" t="inlineStr">
        <is>
          <t>#</t>
        </is>
      </c>
      <c r="C13" s="35" t="inlineStr">
        <is>
          <t>📅 MÊS / ANO</t>
        </is>
      </c>
      <c r="D13" s="35" t="inlineStr">
        <is>
          <t>📆 VENCIMENTO</t>
        </is>
      </c>
      <c r="E13" s="35" t="inlineStr">
        <is>
          <t>🏦 SIST.</t>
        </is>
      </c>
      <c r="F13" s="35" t="inlineStr">
        <is>
          <t>💰 SALDO DEVEDOR</t>
        </is>
      </c>
      <c r="G13" s="35" t="inlineStr">
        <is>
          <t>💳 PARCELA (de L4/L5)</t>
        </is>
      </c>
      <c r="H13" s="35" t="inlineStr">
        <is>
          <t>🔨 AMORTIZAÇÃO</t>
        </is>
      </c>
      <c r="I13" s="35" t="inlineStr">
        <is>
          <t>📈 JUROS</t>
        </is>
      </c>
      <c r="J13" s="35" t="inlineStr">
        <is>
          <t>➕ AMORT. ADICIONAL</t>
        </is>
      </c>
      <c r="K13" s="35" t="inlineStr">
        <is>
          <t>🛡️ SEGURO</t>
        </is>
      </c>
      <c r="L13" s="35" t="inlineStr">
        <is>
          <t>📅 DATA PGTO</t>
        </is>
      </c>
      <c r="M13" s="35" t="inlineStr">
        <is>
          <t>✏️ VALOR PAGO</t>
        </is>
      </c>
      <c r="N13" s="35" t="inlineStr">
        <is>
          <t>📊 TOTAL ACUMULADO</t>
        </is>
      </c>
      <c r="O13" s="35" t="inlineStr">
        <is>
          <t>🚦 SITUAÇÃO</t>
        </is>
      </c>
    </row>
    <row r="14" ht="19" customHeight="1">
      <c r="A14" s="5" t="n"/>
      <c r="B14" s="36" t="n">
        <v>1</v>
      </c>
      <c r="C14" s="37">
        <f>IFERROR(TEXT(EDATE(DATE(VALUE(RIGHT(D5,4)),MATCH(LEFT(D5,3),{"Jan","Fev","Mar","Abr","Mai","Jun","Jul","Ago","Set","Out","Nov","Dez"},0),1),0),"mmm/yyyy")</f>
        <v/>
      </c>
      <c r="D14" s="38">
        <f>IFERROR(EDATE(DATE(VALUE(RIGHT(D5,4)),MATCH(LEFT(D5,3),{"Jan","Fev","Mar","Abr","Mai","Jun","Jul","Ago","Set","Out","Nov","Dez"},0),5),0),"—")</f>
        <v/>
      </c>
      <c r="E14" s="39">
        <f>$H$4</f>
        <v/>
      </c>
      <c r="F14" s="40">
        <f>D4</f>
        <v/>
      </c>
      <c r="G14" s="41">
        <f>IF($H$4="PRICE",$L$4,IF($H$4="SAC",$L$5,0))</f>
        <v/>
      </c>
      <c r="H14" s="42">
        <f>IFERROR(IF($H$4="SAC",$D$4/$D$6,G14-I14-K14),0)</f>
        <v/>
      </c>
      <c r="I14" s="43">
        <f>IFERROR(F14*$D$7,0)</f>
        <v/>
      </c>
      <c r="J14" s="44" t="n"/>
      <c r="K14" s="45">
        <f>IFERROR($H$5,0)</f>
        <v/>
      </c>
      <c r="L14" s="46" t="n"/>
      <c r="M14" s="44" t="n"/>
      <c r="N14" s="47">
        <f>M14</f>
        <v/>
      </c>
      <c r="O14" s="48">
        <f>IF(M14="","⏳ PENDENTE",IF(M14&gt;=G14,"✅ PAGO","⚠️ PARCIAL"))</f>
        <v/>
      </c>
    </row>
    <row r="15" ht="19" customHeight="1">
      <c r="A15" s="1" t="n"/>
      <c r="B15" s="49" t="n">
        <v>2</v>
      </c>
      <c r="C15" s="50">
        <f>IFERROR(TEXT(EDATE(DATE(VALUE(RIGHT(D5,4)),MATCH(LEFT(D5,3),{"Jan","Fev","Mar","Abr","Mai","Jun","Jul","Ago","Set","Out","Nov","Dez"},0),1),1),"mmm/yyyy")</f>
        <v/>
      </c>
      <c r="D15" s="51">
        <f>IFERROR(EDATE(DATE(VALUE(RIGHT(D5,4)),MATCH(LEFT(D5,3),{"Jan","Fev","Mar","Abr","Mai","Jun","Jul","Ago","Set","Out","Nov","Dez"},0),5),1),"—")</f>
        <v/>
      </c>
      <c r="E15" s="39">
        <f>$H$4</f>
        <v/>
      </c>
      <c r="F15" s="52">
        <f>IFERROR(F14-H14-J14,0)</f>
        <v/>
      </c>
      <c r="G15" s="53">
        <f>IF($H$4="PRICE",$L$4,IF($H$4="SAC",$L$5,0))</f>
        <v/>
      </c>
      <c r="H15" s="54">
        <f>IFERROR(IF($H$4="SAC",$D$4/$D$6,G15-I15-K15),0)</f>
        <v/>
      </c>
      <c r="I15" s="55">
        <f>IFERROR(F15*$D$7,0)</f>
        <v/>
      </c>
      <c r="J15" s="44" t="n"/>
      <c r="K15" s="56">
        <f>IFERROR($H$5,0)</f>
        <v/>
      </c>
      <c r="L15" s="46" t="n"/>
      <c r="M15" s="44" t="n"/>
      <c r="N15" s="47">
        <f>IFERROR(N14+M15,N14)</f>
        <v/>
      </c>
      <c r="O15" s="48">
        <f>IF(M15="","⏳ PENDENTE",IF(M15&gt;=G15,"✅ PAGO","⚠️ PARCIAL"))</f>
        <v/>
      </c>
    </row>
    <row r="16" ht="19" customHeight="1">
      <c r="A16" s="5" t="n"/>
      <c r="B16" s="36" t="n">
        <v>3</v>
      </c>
      <c r="C16" s="37">
        <f>IFERROR(TEXT(EDATE(DATE(VALUE(RIGHT(D5,4)),MATCH(LEFT(D5,3),{"Jan","Fev","Mar","Abr","Mai","Jun","Jul","Ago","Set","Out","Nov","Dez"},0),1),2),"mmm/yyyy")</f>
        <v/>
      </c>
      <c r="D16" s="38">
        <f>IFERROR(EDATE(DATE(VALUE(RIGHT(D5,4)),MATCH(LEFT(D5,3),{"Jan","Fev","Mar","Abr","Mai","Jun","Jul","Ago","Set","Out","Nov","Dez"},0),5),2),"—")</f>
        <v/>
      </c>
      <c r="E16" s="39">
        <f>$H$4</f>
        <v/>
      </c>
      <c r="F16" s="40">
        <f>IFERROR(F15-H15-J15,0)</f>
        <v/>
      </c>
      <c r="G16" s="41">
        <f>IF($H$4="PRICE",$L$4,IF($H$4="SAC",$L$5,0))</f>
        <v/>
      </c>
      <c r="H16" s="42">
        <f>IFERROR(IF($H$4="SAC",$D$4/$D$6,G16-I16-K16),0)</f>
        <v/>
      </c>
      <c r="I16" s="43">
        <f>IFERROR(F16*$D$7,0)</f>
        <v/>
      </c>
      <c r="J16" s="44" t="n"/>
      <c r="K16" s="45">
        <f>IFERROR($H$5,0)</f>
        <v/>
      </c>
      <c r="L16" s="46" t="n"/>
      <c r="M16" s="44" t="n"/>
      <c r="N16" s="47">
        <f>IFERROR(N15+M16,N15)</f>
        <v/>
      </c>
      <c r="O16" s="48">
        <f>IF(M16="","⏳ PENDENTE",IF(M16&gt;=G16,"✅ PAGO","⚠️ PARCIAL"))</f>
        <v/>
      </c>
    </row>
    <row r="17" ht="19" customHeight="1">
      <c r="A17" s="1" t="n"/>
      <c r="B17" s="49" t="n">
        <v>4</v>
      </c>
      <c r="C17" s="50">
        <f>IFERROR(TEXT(EDATE(DATE(VALUE(RIGHT(D5,4)),MATCH(LEFT(D5,3),{"Jan","Fev","Mar","Abr","Mai","Jun","Jul","Ago","Set","Out","Nov","Dez"},0),1),3),"mmm/yyyy")</f>
        <v/>
      </c>
      <c r="D17" s="51">
        <f>IFERROR(EDATE(DATE(VALUE(RIGHT(D5,4)),MATCH(LEFT(D5,3),{"Jan","Fev","Mar","Abr","Mai","Jun","Jul","Ago","Set","Out","Nov","Dez"},0),5),3),"—")</f>
        <v/>
      </c>
      <c r="E17" s="39">
        <f>$H$4</f>
        <v/>
      </c>
      <c r="F17" s="52">
        <f>IFERROR(F16-H16-J16,0)</f>
        <v/>
      </c>
      <c r="G17" s="53">
        <f>IF($H$4="PRICE",$L$4,IF($H$4="SAC",$L$5,0))</f>
        <v/>
      </c>
      <c r="H17" s="54">
        <f>IFERROR(IF($H$4="SAC",$D$4/$D$6,G17-I17-K17),0)</f>
        <v/>
      </c>
      <c r="I17" s="55">
        <f>IFERROR(F17*$D$7,0)</f>
        <v/>
      </c>
      <c r="J17" s="44" t="n"/>
      <c r="K17" s="56">
        <f>IFERROR($H$5,0)</f>
        <v/>
      </c>
      <c r="L17" s="46" t="n"/>
      <c r="M17" s="44" t="n"/>
      <c r="N17" s="47">
        <f>IFERROR(N16+M17,N16)</f>
        <v/>
      </c>
      <c r="O17" s="48">
        <f>IF(M17="","⏳ PENDENTE",IF(M17&gt;=G17,"✅ PAGO","⚠️ PARCIAL"))</f>
        <v/>
      </c>
    </row>
    <row r="18" ht="19" customHeight="1">
      <c r="A18" s="5" t="n"/>
      <c r="B18" s="36" t="n">
        <v>5</v>
      </c>
      <c r="C18" s="37">
        <f>IFERROR(TEXT(EDATE(DATE(VALUE(RIGHT(D5,4)),MATCH(LEFT(D5,3),{"Jan","Fev","Mar","Abr","Mai","Jun","Jul","Ago","Set","Out","Nov","Dez"},0),1),4),"mmm/yyyy")</f>
        <v/>
      </c>
      <c r="D18" s="38">
        <f>IFERROR(EDATE(DATE(VALUE(RIGHT(D5,4)),MATCH(LEFT(D5,3),{"Jan","Fev","Mar","Abr","Mai","Jun","Jul","Ago","Set","Out","Nov","Dez"},0),5),4),"—")</f>
        <v/>
      </c>
      <c r="E18" s="39">
        <f>$H$4</f>
        <v/>
      </c>
      <c r="F18" s="40">
        <f>IFERROR(F17-H17-J17,0)</f>
        <v/>
      </c>
      <c r="G18" s="41">
        <f>IF($H$4="PRICE",$L$4,IF($H$4="SAC",$L$5,0))</f>
        <v/>
      </c>
      <c r="H18" s="42">
        <f>IFERROR(IF($H$4="SAC",$D$4/$D$6,G18-I18-K18),0)</f>
        <v/>
      </c>
      <c r="I18" s="43">
        <f>IFERROR(F18*$D$7,0)</f>
        <v/>
      </c>
      <c r="J18" s="44" t="n"/>
      <c r="K18" s="45">
        <f>IFERROR($H$5,0)</f>
        <v/>
      </c>
      <c r="L18" s="46" t="n"/>
      <c r="M18" s="44" t="n"/>
      <c r="N18" s="47">
        <f>IFERROR(N17+M18,N17)</f>
        <v/>
      </c>
      <c r="O18" s="48">
        <f>IF(M18="","⏳ PENDENTE",IF(M18&gt;=G18,"✅ PAGO","⚠️ PARCIAL"))</f>
        <v/>
      </c>
    </row>
    <row r="19" ht="19" customHeight="1">
      <c r="A19" s="1" t="n"/>
      <c r="B19" s="49" t="n">
        <v>6</v>
      </c>
      <c r="C19" s="50">
        <f>IFERROR(TEXT(EDATE(DATE(VALUE(RIGHT(D5,4)),MATCH(LEFT(D5,3),{"Jan","Fev","Mar","Abr","Mai","Jun","Jul","Ago","Set","Out","Nov","Dez"},0),1),5),"mmm/yyyy")</f>
        <v/>
      </c>
      <c r="D19" s="51">
        <f>IFERROR(EDATE(DATE(VALUE(RIGHT(D5,4)),MATCH(LEFT(D5,3),{"Jan","Fev","Mar","Abr","Mai","Jun","Jul","Ago","Set","Out","Nov","Dez"},0),5),5),"—")</f>
        <v/>
      </c>
      <c r="E19" s="39">
        <f>$H$4</f>
        <v/>
      </c>
      <c r="F19" s="52">
        <f>IFERROR(F18-H18-J18,0)</f>
        <v/>
      </c>
      <c r="G19" s="53">
        <f>IF($H$4="PRICE",$L$4,IF($H$4="SAC",$L$5,0))</f>
        <v/>
      </c>
      <c r="H19" s="54">
        <f>IFERROR(IF($H$4="SAC",$D$4/$D$6,G19-I19-K19),0)</f>
        <v/>
      </c>
      <c r="I19" s="55">
        <f>IFERROR(F19*$D$7,0)</f>
        <v/>
      </c>
      <c r="J19" s="44" t="n"/>
      <c r="K19" s="56">
        <f>IFERROR($H$5,0)</f>
        <v/>
      </c>
      <c r="L19" s="46" t="n"/>
      <c r="M19" s="44" t="n"/>
      <c r="N19" s="47">
        <f>IFERROR(N18+M19,N18)</f>
        <v/>
      </c>
      <c r="O19" s="48">
        <f>IF(M19="","⏳ PENDENTE",IF(M19&gt;=G19,"✅ PAGO","⚠️ PARCIAL"))</f>
        <v/>
      </c>
    </row>
    <row r="20" ht="19" customHeight="1">
      <c r="A20" s="5" t="n"/>
      <c r="B20" s="36" t="n">
        <v>7</v>
      </c>
      <c r="C20" s="37">
        <f>IFERROR(TEXT(EDATE(DATE(VALUE(RIGHT(D5,4)),MATCH(LEFT(D5,3),{"Jan","Fev","Mar","Abr","Mai","Jun","Jul","Ago","Set","Out","Nov","Dez"},0),1),6),"mmm/yyyy")</f>
        <v/>
      </c>
      <c r="D20" s="38">
        <f>IFERROR(EDATE(DATE(VALUE(RIGHT(D5,4)),MATCH(LEFT(D5,3),{"Jan","Fev","Mar","Abr","Mai","Jun","Jul","Ago","Set","Out","Nov","Dez"},0),5),6),"—")</f>
        <v/>
      </c>
      <c r="E20" s="39">
        <f>$H$4</f>
        <v/>
      </c>
      <c r="F20" s="40">
        <f>IFERROR(F19-H19-J19,0)</f>
        <v/>
      </c>
      <c r="G20" s="41">
        <f>IF($H$4="PRICE",$L$4,IF($H$4="SAC",$L$5,0))</f>
        <v/>
      </c>
      <c r="H20" s="42">
        <f>IFERROR(IF($H$4="SAC",$D$4/$D$6,G20-I20-K20),0)</f>
        <v/>
      </c>
      <c r="I20" s="43">
        <f>IFERROR(F20*$D$7,0)</f>
        <v/>
      </c>
      <c r="J20" s="44" t="n"/>
      <c r="K20" s="45">
        <f>IFERROR($H$5,0)</f>
        <v/>
      </c>
      <c r="L20" s="46" t="n"/>
      <c r="M20" s="44" t="n"/>
      <c r="N20" s="47">
        <f>IFERROR(N19+M20,N19)</f>
        <v/>
      </c>
      <c r="O20" s="48">
        <f>IF(M20="","⏳ PENDENTE",IF(M20&gt;=G20,"✅ PAGO","⚠️ PARCIAL"))</f>
        <v/>
      </c>
    </row>
    <row r="21" ht="19" customHeight="1">
      <c r="A21" s="1" t="n"/>
      <c r="B21" s="49" t="n">
        <v>8</v>
      </c>
      <c r="C21" s="50">
        <f>IFERROR(TEXT(EDATE(DATE(VALUE(RIGHT(D5,4)),MATCH(LEFT(D5,3),{"Jan","Fev","Mar","Abr","Mai","Jun","Jul","Ago","Set","Out","Nov","Dez"},0),1),7),"mmm/yyyy")</f>
        <v/>
      </c>
      <c r="D21" s="51">
        <f>IFERROR(EDATE(DATE(VALUE(RIGHT(D5,4)),MATCH(LEFT(D5,3),{"Jan","Fev","Mar","Abr","Mai","Jun","Jul","Ago","Set","Out","Nov","Dez"},0),5),7),"—")</f>
        <v/>
      </c>
      <c r="E21" s="39">
        <f>$H$4</f>
        <v/>
      </c>
      <c r="F21" s="52">
        <f>IFERROR(F20-H20-J20,0)</f>
        <v/>
      </c>
      <c r="G21" s="53">
        <f>IF($H$4="PRICE",$L$4,IF($H$4="SAC",$L$5,0))</f>
        <v/>
      </c>
      <c r="H21" s="54">
        <f>IFERROR(IF($H$4="SAC",$D$4/$D$6,G21-I21-K21),0)</f>
        <v/>
      </c>
      <c r="I21" s="55">
        <f>IFERROR(F21*$D$7,0)</f>
        <v/>
      </c>
      <c r="J21" s="44" t="n"/>
      <c r="K21" s="56">
        <f>IFERROR($H$5,0)</f>
        <v/>
      </c>
      <c r="L21" s="46" t="n"/>
      <c r="M21" s="44" t="n"/>
      <c r="N21" s="47">
        <f>IFERROR(N20+M21,N20)</f>
        <v/>
      </c>
      <c r="O21" s="48">
        <f>IF(M21="","⏳ PENDENTE",IF(M21&gt;=G21,"✅ PAGO","⚠️ PARCIAL"))</f>
        <v/>
      </c>
    </row>
    <row r="22" ht="19" customHeight="1">
      <c r="A22" s="5" t="n"/>
      <c r="B22" s="36" t="n">
        <v>9</v>
      </c>
      <c r="C22" s="37">
        <f>IFERROR(TEXT(EDATE(DATE(VALUE(RIGHT(D5,4)),MATCH(LEFT(D5,3),{"Jan","Fev","Mar","Abr","Mai","Jun","Jul","Ago","Set","Out","Nov","Dez"},0),1),8),"mmm/yyyy")</f>
        <v/>
      </c>
      <c r="D22" s="38">
        <f>IFERROR(EDATE(DATE(VALUE(RIGHT(D5,4)),MATCH(LEFT(D5,3),{"Jan","Fev","Mar","Abr","Mai","Jun","Jul","Ago","Set","Out","Nov","Dez"},0),5),8),"—")</f>
        <v/>
      </c>
      <c r="E22" s="39">
        <f>$H$4</f>
        <v/>
      </c>
      <c r="F22" s="40">
        <f>IFERROR(F21-H21-J21,0)</f>
        <v/>
      </c>
      <c r="G22" s="41">
        <f>IF($H$4="PRICE",$L$4,IF($H$4="SAC",$L$5,0))</f>
        <v/>
      </c>
      <c r="H22" s="42">
        <f>IFERROR(IF($H$4="SAC",$D$4/$D$6,G22-I22-K22),0)</f>
        <v/>
      </c>
      <c r="I22" s="43">
        <f>IFERROR(F22*$D$7,0)</f>
        <v/>
      </c>
      <c r="J22" s="44" t="n"/>
      <c r="K22" s="45">
        <f>IFERROR($H$5,0)</f>
        <v/>
      </c>
      <c r="L22" s="46" t="n"/>
      <c r="M22" s="44" t="n"/>
      <c r="N22" s="47">
        <f>IFERROR(N21+M22,N21)</f>
        <v/>
      </c>
      <c r="O22" s="48">
        <f>IF(M22="","⏳ PENDENTE",IF(M22&gt;=G22,"✅ PAGO","⚠️ PARCIAL"))</f>
        <v/>
      </c>
    </row>
    <row r="23" ht="19" customHeight="1">
      <c r="A23" s="1" t="n"/>
      <c r="B23" s="49" t="n">
        <v>10</v>
      </c>
      <c r="C23" s="50">
        <f>IFERROR(TEXT(EDATE(DATE(VALUE(RIGHT(D5,4)),MATCH(LEFT(D5,3),{"Jan","Fev","Mar","Abr","Mai","Jun","Jul","Ago","Set","Out","Nov","Dez"},0),1),9),"mmm/yyyy")</f>
        <v/>
      </c>
      <c r="D23" s="51">
        <f>IFERROR(EDATE(DATE(VALUE(RIGHT(D5,4)),MATCH(LEFT(D5,3),{"Jan","Fev","Mar","Abr","Mai","Jun","Jul","Ago","Set","Out","Nov","Dez"},0),5),9),"—")</f>
        <v/>
      </c>
      <c r="E23" s="39">
        <f>$H$4</f>
        <v/>
      </c>
      <c r="F23" s="52">
        <f>IFERROR(F22-H22-J22,0)</f>
        <v/>
      </c>
      <c r="G23" s="53">
        <f>IF($H$4="PRICE",$L$4,IF($H$4="SAC",$L$5,0))</f>
        <v/>
      </c>
      <c r="H23" s="54">
        <f>IFERROR(IF($H$4="SAC",$D$4/$D$6,G23-I23-K23),0)</f>
        <v/>
      </c>
      <c r="I23" s="55">
        <f>IFERROR(F23*$D$7,0)</f>
        <v/>
      </c>
      <c r="J23" s="44" t="n"/>
      <c r="K23" s="56">
        <f>IFERROR($H$5,0)</f>
        <v/>
      </c>
      <c r="L23" s="46" t="n"/>
      <c r="M23" s="44" t="n"/>
      <c r="N23" s="47">
        <f>IFERROR(N22+M23,N22)</f>
        <v/>
      </c>
      <c r="O23" s="48">
        <f>IF(M23="","⏳ PENDENTE",IF(M23&gt;=G23,"✅ PAGO","⚠️ PARCIAL"))</f>
        <v/>
      </c>
    </row>
    <row r="24" ht="19" customHeight="1">
      <c r="A24" s="5" t="n"/>
      <c r="B24" s="36" t="n">
        <v>11</v>
      </c>
      <c r="C24" s="37">
        <f>IFERROR(TEXT(EDATE(DATE(VALUE(RIGHT(D5,4)),MATCH(LEFT(D5,3),{"Jan","Fev","Mar","Abr","Mai","Jun","Jul","Ago","Set","Out","Nov","Dez"},0),1),10),"mmm/yyyy")</f>
        <v/>
      </c>
      <c r="D24" s="38">
        <f>IFERROR(EDATE(DATE(VALUE(RIGHT(D5,4)),MATCH(LEFT(D5,3),{"Jan","Fev","Mar","Abr","Mai","Jun","Jul","Ago","Set","Out","Nov","Dez"},0),5),10),"—")</f>
        <v/>
      </c>
      <c r="E24" s="39">
        <f>$H$4</f>
        <v/>
      </c>
      <c r="F24" s="40">
        <f>IFERROR(F23-H23-J23,0)</f>
        <v/>
      </c>
      <c r="G24" s="41">
        <f>IF($H$4="PRICE",$L$4,IF($H$4="SAC",$L$5,0))</f>
        <v/>
      </c>
      <c r="H24" s="42">
        <f>IFERROR(IF($H$4="SAC",$D$4/$D$6,G24-I24-K24),0)</f>
        <v/>
      </c>
      <c r="I24" s="43">
        <f>IFERROR(F24*$D$7,0)</f>
        <v/>
      </c>
      <c r="J24" s="44" t="n"/>
      <c r="K24" s="45">
        <f>IFERROR($H$5,0)</f>
        <v/>
      </c>
      <c r="L24" s="46" t="n"/>
      <c r="M24" s="44" t="n"/>
      <c r="N24" s="47">
        <f>IFERROR(N23+M24,N23)</f>
        <v/>
      </c>
      <c r="O24" s="48">
        <f>IF(M24="","⏳ PENDENTE",IF(M24&gt;=G24,"✅ PAGO","⚠️ PARCIAL"))</f>
        <v/>
      </c>
    </row>
    <row r="25" ht="19" customHeight="1">
      <c r="A25" s="1" t="n"/>
      <c r="B25" s="49" t="n">
        <v>12</v>
      </c>
      <c r="C25" s="50">
        <f>IFERROR(TEXT(EDATE(DATE(VALUE(RIGHT(D5,4)),MATCH(LEFT(D5,3),{"Jan","Fev","Mar","Abr","Mai","Jun","Jul","Ago","Set","Out","Nov","Dez"},0),1),11),"mmm/yyyy")</f>
        <v/>
      </c>
      <c r="D25" s="51">
        <f>IFERROR(EDATE(DATE(VALUE(RIGHT(D5,4)),MATCH(LEFT(D5,3),{"Jan","Fev","Mar","Abr","Mai","Jun","Jul","Ago","Set","Out","Nov","Dez"},0),5),11),"—")</f>
        <v/>
      </c>
      <c r="E25" s="39">
        <f>$H$4</f>
        <v/>
      </c>
      <c r="F25" s="52">
        <f>IFERROR(F24-H24-J24,0)</f>
        <v/>
      </c>
      <c r="G25" s="53">
        <f>IF($H$4="PRICE",$L$4,IF($H$4="SAC",$L$5,0))</f>
        <v/>
      </c>
      <c r="H25" s="54">
        <f>IFERROR(IF($H$4="SAC",$D$4/$D$6,G25-I25-K25),0)</f>
        <v/>
      </c>
      <c r="I25" s="55">
        <f>IFERROR(F25*$D$7,0)</f>
        <v/>
      </c>
      <c r="J25" s="44" t="n"/>
      <c r="K25" s="56">
        <f>IFERROR($H$5,0)</f>
        <v/>
      </c>
      <c r="L25" s="46" t="n"/>
      <c r="M25" s="44" t="n"/>
      <c r="N25" s="47">
        <f>IFERROR(N24+M25,N24)</f>
        <v/>
      </c>
      <c r="O25" s="48">
        <f>IF(M25="","⏳ PENDENTE",IF(M25&gt;=G25,"✅ PAGO","⚠️ PARCIAL"))</f>
        <v/>
      </c>
    </row>
    <row r="26" ht="19" customHeight="1">
      <c r="A26" s="5" t="n"/>
      <c r="B26" s="36" t="n">
        <v>13</v>
      </c>
      <c r="C26" s="37">
        <f>IFERROR(TEXT(EDATE(DATE(VALUE(RIGHT(D5,4)),MATCH(LEFT(D5,3),{"Jan","Fev","Mar","Abr","Mai","Jun","Jul","Ago","Set","Out","Nov","Dez"},0),1),12),"mmm/yyyy")</f>
        <v/>
      </c>
      <c r="D26" s="38">
        <f>IFERROR(EDATE(DATE(VALUE(RIGHT(D5,4)),MATCH(LEFT(D5,3),{"Jan","Fev","Mar","Abr","Mai","Jun","Jul","Ago","Set","Out","Nov","Dez"},0),5),12),"—")</f>
        <v/>
      </c>
      <c r="E26" s="39">
        <f>$H$4</f>
        <v/>
      </c>
      <c r="F26" s="40">
        <f>IFERROR(F25-H25-J25,0)</f>
        <v/>
      </c>
      <c r="G26" s="41">
        <f>IF($H$4="PRICE",$L$4,IF($H$4="SAC",$L$5,0))</f>
        <v/>
      </c>
      <c r="H26" s="42">
        <f>IFERROR(IF($H$4="SAC",$D$4/$D$6,G26-I26-K26),0)</f>
        <v/>
      </c>
      <c r="I26" s="43">
        <f>IFERROR(F26*$D$7,0)</f>
        <v/>
      </c>
      <c r="J26" s="44" t="n"/>
      <c r="K26" s="45">
        <f>IFERROR($H$5,0)</f>
        <v/>
      </c>
      <c r="L26" s="46" t="n"/>
      <c r="M26" s="44" t="n"/>
      <c r="N26" s="47">
        <f>IFERROR(N25+M26,N25)</f>
        <v/>
      </c>
      <c r="O26" s="48">
        <f>IF(M26="","⏳ PENDENTE",IF(M26&gt;=G26,"✅ PAGO","⚠️ PARCIAL"))</f>
        <v/>
      </c>
    </row>
    <row r="27" ht="19" customHeight="1">
      <c r="A27" s="1" t="n"/>
      <c r="B27" s="49" t="n">
        <v>14</v>
      </c>
      <c r="C27" s="50">
        <f>IFERROR(TEXT(EDATE(DATE(VALUE(RIGHT(D5,4)),MATCH(LEFT(D5,3),{"Jan","Fev","Mar","Abr","Mai","Jun","Jul","Ago","Set","Out","Nov","Dez"},0),1),13),"mmm/yyyy")</f>
        <v/>
      </c>
      <c r="D27" s="51">
        <f>IFERROR(EDATE(DATE(VALUE(RIGHT(D5,4)),MATCH(LEFT(D5,3),{"Jan","Fev","Mar","Abr","Mai","Jun","Jul","Ago","Set","Out","Nov","Dez"},0),5),13),"—")</f>
        <v/>
      </c>
      <c r="E27" s="39">
        <f>$H$4</f>
        <v/>
      </c>
      <c r="F27" s="52">
        <f>IFERROR(F26-H26-J26,0)</f>
        <v/>
      </c>
      <c r="G27" s="53">
        <f>IF($H$4="PRICE",$L$4,IF($H$4="SAC",$L$5,0))</f>
        <v/>
      </c>
      <c r="H27" s="54">
        <f>IFERROR(IF($H$4="SAC",$D$4/$D$6,G27-I27-K27),0)</f>
        <v/>
      </c>
      <c r="I27" s="55">
        <f>IFERROR(F27*$D$7,0)</f>
        <v/>
      </c>
      <c r="J27" s="44" t="n"/>
      <c r="K27" s="56">
        <f>IFERROR($H$5,0)</f>
        <v/>
      </c>
      <c r="L27" s="46" t="n"/>
      <c r="M27" s="44" t="n"/>
      <c r="N27" s="47">
        <f>IFERROR(N26+M27,N26)</f>
        <v/>
      </c>
      <c r="O27" s="48">
        <f>IF(M27="","⏳ PENDENTE",IF(M27&gt;=G27,"✅ PAGO","⚠️ PARCIAL"))</f>
        <v/>
      </c>
    </row>
    <row r="28" ht="19" customHeight="1">
      <c r="A28" s="5" t="n"/>
      <c r="B28" s="36" t="n">
        <v>15</v>
      </c>
      <c r="C28" s="37">
        <f>IFERROR(TEXT(EDATE(DATE(VALUE(RIGHT(D5,4)),MATCH(LEFT(D5,3),{"Jan","Fev","Mar","Abr","Mai","Jun","Jul","Ago","Set","Out","Nov","Dez"},0),1),14),"mmm/yyyy")</f>
        <v/>
      </c>
      <c r="D28" s="38">
        <f>IFERROR(EDATE(DATE(VALUE(RIGHT(D5,4)),MATCH(LEFT(D5,3),{"Jan","Fev","Mar","Abr","Mai","Jun","Jul","Ago","Set","Out","Nov","Dez"},0),5),14),"—")</f>
        <v/>
      </c>
      <c r="E28" s="39">
        <f>$H$4</f>
        <v/>
      </c>
      <c r="F28" s="40">
        <f>IFERROR(F27-H27-J27,0)</f>
        <v/>
      </c>
      <c r="G28" s="41">
        <f>IF($H$4="PRICE",$L$4,IF($H$4="SAC",$L$5,0))</f>
        <v/>
      </c>
      <c r="H28" s="42">
        <f>IFERROR(IF($H$4="SAC",$D$4/$D$6,G28-I28-K28),0)</f>
        <v/>
      </c>
      <c r="I28" s="43">
        <f>IFERROR(F28*$D$7,0)</f>
        <v/>
      </c>
      <c r="J28" s="44" t="n"/>
      <c r="K28" s="45">
        <f>IFERROR($H$5,0)</f>
        <v/>
      </c>
      <c r="L28" s="46" t="n"/>
      <c r="M28" s="44" t="n"/>
      <c r="N28" s="47">
        <f>IFERROR(N27+M28,N27)</f>
        <v/>
      </c>
      <c r="O28" s="48">
        <f>IF(M28="","⏳ PENDENTE",IF(M28&gt;=G28,"✅ PAGO","⚠️ PARCIAL"))</f>
        <v/>
      </c>
    </row>
    <row r="29" ht="19" customHeight="1">
      <c r="A29" s="1" t="n"/>
      <c r="B29" s="49" t="n">
        <v>16</v>
      </c>
      <c r="C29" s="50">
        <f>IFERROR(TEXT(EDATE(DATE(VALUE(RIGHT(D5,4)),MATCH(LEFT(D5,3),{"Jan","Fev","Mar","Abr","Mai","Jun","Jul","Ago","Set","Out","Nov","Dez"},0),1),15),"mmm/yyyy")</f>
        <v/>
      </c>
      <c r="D29" s="51">
        <f>IFERROR(EDATE(DATE(VALUE(RIGHT(D5,4)),MATCH(LEFT(D5,3),{"Jan","Fev","Mar","Abr","Mai","Jun","Jul","Ago","Set","Out","Nov","Dez"},0),5),15),"—")</f>
        <v/>
      </c>
      <c r="E29" s="39">
        <f>$H$4</f>
        <v/>
      </c>
      <c r="F29" s="52">
        <f>IFERROR(F28-H28-J28,0)</f>
        <v/>
      </c>
      <c r="G29" s="53">
        <f>IF($H$4="PRICE",$L$4,IF($H$4="SAC",$L$5,0))</f>
        <v/>
      </c>
      <c r="H29" s="54">
        <f>IFERROR(IF($H$4="SAC",$D$4/$D$6,G29-I29-K29),0)</f>
        <v/>
      </c>
      <c r="I29" s="55">
        <f>IFERROR(F29*$D$7,0)</f>
        <v/>
      </c>
      <c r="J29" s="44" t="n"/>
      <c r="K29" s="56">
        <f>IFERROR($H$5,0)</f>
        <v/>
      </c>
      <c r="L29" s="46" t="n"/>
      <c r="M29" s="44" t="n"/>
      <c r="N29" s="47">
        <f>IFERROR(N28+M29,N28)</f>
        <v/>
      </c>
      <c r="O29" s="48">
        <f>IF(M29="","⏳ PENDENTE",IF(M29&gt;=G29,"✅ PAGO","⚠️ PARCIAL"))</f>
        <v/>
      </c>
    </row>
    <row r="30" ht="19" customHeight="1">
      <c r="A30" s="5" t="n"/>
      <c r="B30" s="36" t="n">
        <v>17</v>
      </c>
      <c r="C30" s="37">
        <f>IFERROR(TEXT(EDATE(DATE(VALUE(RIGHT(D5,4)),MATCH(LEFT(D5,3),{"Jan","Fev","Mar","Abr","Mai","Jun","Jul","Ago","Set","Out","Nov","Dez"},0),1),16),"mmm/yyyy")</f>
        <v/>
      </c>
      <c r="D30" s="38">
        <f>IFERROR(EDATE(DATE(VALUE(RIGHT(D5,4)),MATCH(LEFT(D5,3),{"Jan","Fev","Mar","Abr","Mai","Jun","Jul","Ago","Set","Out","Nov","Dez"},0),5),16),"—")</f>
        <v/>
      </c>
      <c r="E30" s="39">
        <f>$H$4</f>
        <v/>
      </c>
      <c r="F30" s="40">
        <f>IFERROR(F29-H29-J29,0)</f>
        <v/>
      </c>
      <c r="G30" s="41">
        <f>IF($H$4="PRICE",$L$4,IF($H$4="SAC",$L$5,0))</f>
        <v/>
      </c>
      <c r="H30" s="42">
        <f>IFERROR(IF($H$4="SAC",$D$4/$D$6,G30-I30-K30),0)</f>
        <v/>
      </c>
      <c r="I30" s="43">
        <f>IFERROR(F30*$D$7,0)</f>
        <v/>
      </c>
      <c r="J30" s="44" t="n"/>
      <c r="K30" s="45">
        <f>IFERROR($H$5,0)</f>
        <v/>
      </c>
      <c r="L30" s="46" t="n"/>
      <c r="M30" s="44" t="n"/>
      <c r="N30" s="47">
        <f>IFERROR(N29+M30,N29)</f>
        <v/>
      </c>
      <c r="O30" s="48">
        <f>IF(M30="","⏳ PENDENTE",IF(M30&gt;=G30,"✅ PAGO","⚠️ PARCIAL"))</f>
        <v/>
      </c>
    </row>
    <row r="31" ht="19" customHeight="1">
      <c r="A31" s="1" t="n"/>
      <c r="B31" s="49" t="n">
        <v>18</v>
      </c>
      <c r="C31" s="50">
        <f>IFERROR(TEXT(EDATE(DATE(VALUE(RIGHT(D5,4)),MATCH(LEFT(D5,3),{"Jan","Fev","Mar","Abr","Mai","Jun","Jul","Ago","Set","Out","Nov","Dez"},0),1),17),"mmm/yyyy")</f>
        <v/>
      </c>
      <c r="D31" s="51">
        <f>IFERROR(EDATE(DATE(VALUE(RIGHT(D5,4)),MATCH(LEFT(D5,3),{"Jan","Fev","Mar","Abr","Mai","Jun","Jul","Ago","Set","Out","Nov","Dez"},0),5),17),"—")</f>
        <v/>
      </c>
      <c r="E31" s="39">
        <f>$H$4</f>
        <v/>
      </c>
      <c r="F31" s="52">
        <f>IFERROR(F30-H30-J30,0)</f>
        <v/>
      </c>
      <c r="G31" s="53">
        <f>IF($H$4="PRICE",$L$4,IF($H$4="SAC",$L$5,0))</f>
        <v/>
      </c>
      <c r="H31" s="54">
        <f>IFERROR(IF($H$4="SAC",$D$4/$D$6,G31-I31-K31),0)</f>
        <v/>
      </c>
      <c r="I31" s="55">
        <f>IFERROR(F31*$D$7,0)</f>
        <v/>
      </c>
      <c r="J31" s="44" t="n"/>
      <c r="K31" s="56">
        <f>IFERROR($H$5,0)</f>
        <v/>
      </c>
      <c r="L31" s="46" t="n"/>
      <c r="M31" s="44" t="n"/>
      <c r="N31" s="47">
        <f>IFERROR(N30+M31,N30)</f>
        <v/>
      </c>
      <c r="O31" s="48">
        <f>IF(M31="","⏳ PENDENTE",IF(M31&gt;=G31,"✅ PAGO","⚠️ PARCIAL"))</f>
        <v/>
      </c>
    </row>
    <row r="32" ht="19" customHeight="1">
      <c r="A32" s="5" t="n"/>
      <c r="B32" s="36" t="n">
        <v>19</v>
      </c>
      <c r="C32" s="37">
        <f>IFERROR(TEXT(EDATE(DATE(VALUE(RIGHT(D5,4)),MATCH(LEFT(D5,3),{"Jan","Fev","Mar","Abr","Mai","Jun","Jul","Ago","Set","Out","Nov","Dez"},0),1),18),"mmm/yyyy")</f>
        <v/>
      </c>
      <c r="D32" s="38">
        <f>IFERROR(EDATE(DATE(VALUE(RIGHT(D5,4)),MATCH(LEFT(D5,3),{"Jan","Fev","Mar","Abr","Mai","Jun","Jul","Ago","Set","Out","Nov","Dez"},0),5),18),"—")</f>
        <v/>
      </c>
      <c r="E32" s="39">
        <f>$H$4</f>
        <v/>
      </c>
      <c r="F32" s="40">
        <f>IFERROR(F31-H31-J31,0)</f>
        <v/>
      </c>
      <c r="G32" s="41">
        <f>IF($H$4="PRICE",$L$4,IF($H$4="SAC",$L$5,0))</f>
        <v/>
      </c>
      <c r="H32" s="42">
        <f>IFERROR(IF($H$4="SAC",$D$4/$D$6,G32-I32-K32),0)</f>
        <v/>
      </c>
      <c r="I32" s="43">
        <f>IFERROR(F32*$D$7,0)</f>
        <v/>
      </c>
      <c r="J32" s="44" t="n"/>
      <c r="K32" s="45">
        <f>IFERROR($H$5,0)</f>
        <v/>
      </c>
      <c r="L32" s="46" t="n"/>
      <c r="M32" s="44" t="n"/>
      <c r="N32" s="47">
        <f>IFERROR(N31+M32,N31)</f>
        <v/>
      </c>
      <c r="O32" s="48">
        <f>IF(M32="","⏳ PENDENTE",IF(M32&gt;=G32,"✅ PAGO","⚠️ PARCIAL"))</f>
        <v/>
      </c>
    </row>
    <row r="33" ht="19" customHeight="1">
      <c r="A33" s="1" t="n"/>
      <c r="B33" s="49" t="n">
        <v>20</v>
      </c>
      <c r="C33" s="50">
        <f>IFERROR(TEXT(EDATE(DATE(VALUE(RIGHT(D5,4)),MATCH(LEFT(D5,3),{"Jan","Fev","Mar","Abr","Mai","Jun","Jul","Ago","Set","Out","Nov","Dez"},0),1),19),"mmm/yyyy")</f>
        <v/>
      </c>
      <c r="D33" s="51">
        <f>IFERROR(EDATE(DATE(VALUE(RIGHT(D5,4)),MATCH(LEFT(D5,3),{"Jan","Fev","Mar","Abr","Mai","Jun","Jul","Ago","Set","Out","Nov","Dez"},0),5),19),"—")</f>
        <v/>
      </c>
      <c r="E33" s="39">
        <f>$H$4</f>
        <v/>
      </c>
      <c r="F33" s="52">
        <f>IFERROR(F32-H32-J32,0)</f>
        <v/>
      </c>
      <c r="G33" s="53">
        <f>IF($H$4="PRICE",$L$4,IF($H$4="SAC",$L$5,0))</f>
        <v/>
      </c>
      <c r="H33" s="54">
        <f>IFERROR(IF($H$4="SAC",$D$4/$D$6,G33-I33-K33),0)</f>
        <v/>
      </c>
      <c r="I33" s="55">
        <f>IFERROR(F33*$D$7,0)</f>
        <v/>
      </c>
      <c r="J33" s="44" t="n"/>
      <c r="K33" s="56">
        <f>IFERROR($H$5,0)</f>
        <v/>
      </c>
      <c r="L33" s="46" t="n"/>
      <c r="M33" s="44" t="n"/>
      <c r="N33" s="47">
        <f>IFERROR(N32+M33,N32)</f>
        <v/>
      </c>
      <c r="O33" s="48">
        <f>IF(M33="","⏳ PENDENTE",IF(M33&gt;=G33,"✅ PAGO","⚠️ PARCIAL"))</f>
        <v/>
      </c>
    </row>
    <row r="34" ht="19" customHeight="1">
      <c r="A34" s="5" t="n"/>
      <c r="B34" s="36" t="n">
        <v>21</v>
      </c>
      <c r="C34" s="37">
        <f>IFERROR(TEXT(EDATE(DATE(VALUE(RIGHT(D5,4)),MATCH(LEFT(D5,3),{"Jan","Fev","Mar","Abr","Mai","Jun","Jul","Ago","Set","Out","Nov","Dez"},0),1),20),"mmm/yyyy")</f>
        <v/>
      </c>
      <c r="D34" s="38">
        <f>IFERROR(EDATE(DATE(VALUE(RIGHT(D5,4)),MATCH(LEFT(D5,3),{"Jan","Fev","Mar","Abr","Mai","Jun","Jul","Ago","Set","Out","Nov","Dez"},0),5),20),"—")</f>
        <v/>
      </c>
      <c r="E34" s="39">
        <f>$H$4</f>
        <v/>
      </c>
      <c r="F34" s="40">
        <f>IFERROR(F33-H33-J33,0)</f>
        <v/>
      </c>
      <c r="G34" s="41">
        <f>IF($H$4="PRICE",$L$4,IF($H$4="SAC",$L$5,0))</f>
        <v/>
      </c>
      <c r="H34" s="42">
        <f>IFERROR(IF($H$4="SAC",$D$4/$D$6,G34-I34-K34),0)</f>
        <v/>
      </c>
      <c r="I34" s="43">
        <f>IFERROR(F34*$D$7,0)</f>
        <v/>
      </c>
      <c r="J34" s="44" t="n"/>
      <c r="K34" s="45">
        <f>IFERROR($H$5,0)</f>
        <v/>
      </c>
      <c r="L34" s="46" t="n"/>
      <c r="M34" s="44" t="n"/>
      <c r="N34" s="47">
        <f>IFERROR(N33+M34,N33)</f>
        <v/>
      </c>
      <c r="O34" s="48">
        <f>IF(M34="","⏳ PENDENTE",IF(M34&gt;=G34,"✅ PAGO","⚠️ PARCIAL"))</f>
        <v/>
      </c>
    </row>
    <row r="35" ht="19" customHeight="1">
      <c r="A35" s="1" t="n"/>
      <c r="B35" s="49" t="n">
        <v>22</v>
      </c>
      <c r="C35" s="50">
        <f>IFERROR(TEXT(EDATE(DATE(VALUE(RIGHT(D5,4)),MATCH(LEFT(D5,3),{"Jan","Fev","Mar","Abr","Mai","Jun","Jul","Ago","Set","Out","Nov","Dez"},0),1),21),"mmm/yyyy")</f>
        <v/>
      </c>
      <c r="D35" s="51">
        <f>IFERROR(EDATE(DATE(VALUE(RIGHT(D5,4)),MATCH(LEFT(D5,3),{"Jan","Fev","Mar","Abr","Mai","Jun","Jul","Ago","Set","Out","Nov","Dez"},0),5),21),"—")</f>
        <v/>
      </c>
      <c r="E35" s="39">
        <f>$H$4</f>
        <v/>
      </c>
      <c r="F35" s="52">
        <f>IFERROR(F34-H34-J34,0)</f>
        <v/>
      </c>
      <c r="G35" s="53">
        <f>IF($H$4="PRICE",$L$4,IF($H$4="SAC",$L$5,0))</f>
        <v/>
      </c>
      <c r="H35" s="54">
        <f>IFERROR(IF($H$4="SAC",$D$4/$D$6,G35-I35-K35),0)</f>
        <v/>
      </c>
      <c r="I35" s="55">
        <f>IFERROR(F35*$D$7,0)</f>
        <v/>
      </c>
      <c r="J35" s="44" t="n"/>
      <c r="K35" s="56">
        <f>IFERROR($H$5,0)</f>
        <v/>
      </c>
      <c r="L35" s="46" t="n"/>
      <c r="M35" s="44" t="n"/>
      <c r="N35" s="47">
        <f>IFERROR(N34+M35,N34)</f>
        <v/>
      </c>
      <c r="O35" s="48">
        <f>IF(M35="","⏳ PENDENTE",IF(M35&gt;=G35,"✅ PAGO","⚠️ PARCIAL"))</f>
        <v/>
      </c>
    </row>
    <row r="36" ht="19" customHeight="1">
      <c r="A36" s="5" t="n"/>
      <c r="B36" s="36" t="n">
        <v>23</v>
      </c>
      <c r="C36" s="37">
        <f>IFERROR(TEXT(EDATE(DATE(VALUE(RIGHT(D5,4)),MATCH(LEFT(D5,3),{"Jan","Fev","Mar","Abr","Mai","Jun","Jul","Ago","Set","Out","Nov","Dez"},0),1),22),"mmm/yyyy")</f>
        <v/>
      </c>
      <c r="D36" s="38">
        <f>IFERROR(EDATE(DATE(VALUE(RIGHT(D5,4)),MATCH(LEFT(D5,3),{"Jan","Fev","Mar","Abr","Mai","Jun","Jul","Ago","Set","Out","Nov","Dez"},0),5),22),"—")</f>
        <v/>
      </c>
      <c r="E36" s="39">
        <f>$H$4</f>
        <v/>
      </c>
      <c r="F36" s="40">
        <f>IFERROR(F35-H35-J35,0)</f>
        <v/>
      </c>
      <c r="G36" s="41">
        <f>IF($H$4="PRICE",$L$4,IF($H$4="SAC",$L$5,0))</f>
        <v/>
      </c>
      <c r="H36" s="42">
        <f>IFERROR(IF($H$4="SAC",$D$4/$D$6,G36-I36-K36),0)</f>
        <v/>
      </c>
      <c r="I36" s="43">
        <f>IFERROR(F36*$D$7,0)</f>
        <v/>
      </c>
      <c r="J36" s="44" t="n"/>
      <c r="K36" s="45">
        <f>IFERROR($H$5,0)</f>
        <v/>
      </c>
      <c r="L36" s="46" t="n"/>
      <c r="M36" s="44" t="n"/>
      <c r="N36" s="47">
        <f>IFERROR(N35+M36,N35)</f>
        <v/>
      </c>
      <c r="O36" s="48">
        <f>IF(M36="","⏳ PENDENTE",IF(M36&gt;=G36,"✅ PAGO","⚠️ PARCIAL"))</f>
        <v/>
      </c>
    </row>
    <row r="37" ht="19" customHeight="1">
      <c r="A37" s="1" t="n"/>
      <c r="B37" s="49" t="n">
        <v>24</v>
      </c>
      <c r="C37" s="50">
        <f>IFERROR(TEXT(EDATE(DATE(VALUE(RIGHT(D5,4)),MATCH(LEFT(D5,3),{"Jan","Fev","Mar","Abr","Mai","Jun","Jul","Ago","Set","Out","Nov","Dez"},0),1),23),"mmm/yyyy")</f>
        <v/>
      </c>
      <c r="D37" s="51">
        <f>IFERROR(EDATE(DATE(VALUE(RIGHT(D5,4)),MATCH(LEFT(D5,3),{"Jan","Fev","Mar","Abr","Mai","Jun","Jul","Ago","Set","Out","Nov","Dez"},0),5),23),"—")</f>
        <v/>
      </c>
      <c r="E37" s="39">
        <f>$H$4</f>
        <v/>
      </c>
      <c r="F37" s="52">
        <f>IFERROR(F36-H36-J36,0)</f>
        <v/>
      </c>
      <c r="G37" s="53">
        <f>IF($H$4="PRICE",$L$4,IF($H$4="SAC",$L$5,0))</f>
        <v/>
      </c>
      <c r="H37" s="54">
        <f>IFERROR(IF($H$4="SAC",$D$4/$D$6,G37-I37-K37),0)</f>
        <v/>
      </c>
      <c r="I37" s="55">
        <f>IFERROR(F37*$D$7,0)</f>
        <v/>
      </c>
      <c r="J37" s="44" t="n"/>
      <c r="K37" s="56">
        <f>IFERROR($H$5,0)</f>
        <v/>
      </c>
      <c r="L37" s="46" t="n"/>
      <c r="M37" s="44" t="n"/>
      <c r="N37" s="47">
        <f>IFERROR(N36+M37,N36)</f>
        <v/>
      </c>
      <c r="O37" s="48">
        <f>IF(M37="","⏳ PENDENTE",IF(M37&gt;=G37,"✅ PAGO","⚠️ PARCIAL"))</f>
        <v/>
      </c>
    </row>
    <row r="38" ht="19" customHeight="1">
      <c r="A38" s="5" t="n"/>
      <c r="B38" s="36" t="n">
        <v>25</v>
      </c>
      <c r="C38" s="37">
        <f>IFERROR(TEXT(EDATE(DATE(VALUE(RIGHT(D5,4)),MATCH(LEFT(D5,3),{"Jan","Fev","Mar","Abr","Mai","Jun","Jul","Ago","Set","Out","Nov","Dez"},0),1),24),"mmm/yyyy")</f>
        <v/>
      </c>
      <c r="D38" s="38">
        <f>IFERROR(EDATE(DATE(VALUE(RIGHT(D5,4)),MATCH(LEFT(D5,3),{"Jan","Fev","Mar","Abr","Mai","Jun","Jul","Ago","Set","Out","Nov","Dez"},0),5),24),"—")</f>
        <v/>
      </c>
      <c r="E38" s="39">
        <f>$H$4</f>
        <v/>
      </c>
      <c r="F38" s="40">
        <f>IFERROR(F37-H37-J37,0)</f>
        <v/>
      </c>
      <c r="G38" s="41">
        <f>IF($H$4="PRICE",$L$4,IF($H$4="SAC",$L$5,0))</f>
        <v/>
      </c>
      <c r="H38" s="42">
        <f>IFERROR(IF($H$4="SAC",$D$4/$D$6,G38-I38-K38),0)</f>
        <v/>
      </c>
      <c r="I38" s="43">
        <f>IFERROR(F38*$D$7,0)</f>
        <v/>
      </c>
      <c r="J38" s="44" t="n"/>
      <c r="K38" s="45">
        <f>IFERROR($H$5,0)</f>
        <v/>
      </c>
      <c r="L38" s="46" t="n"/>
      <c r="M38" s="44" t="n"/>
      <c r="N38" s="47">
        <f>IFERROR(N37+M38,N37)</f>
        <v/>
      </c>
      <c r="O38" s="48">
        <f>IF(M38="","⏳ PENDENTE",IF(M38&gt;=G38,"✅ PAGO","⚠️ PARCIAL"))</f>
        <v/>
      </c>
    </row>
    <row r="39" ht="19" customHeight="1">
      <c r="A39" s="1" t="n"/>
      <c r="B39" s="49" t="n">
        <v>26</v>
      </c>
      <c r="C39" s="50">
        <f>IFERROR(TEXT(EDATE(DATE(VALUE(RIGHT(D5,4)),MATCH(LEFT(D5,3),{"Jan","Fev","Mar","Abr","Mai","Jun","Jul","Ago","Set","Out","Nov","Dez"},0),1),25),"mmm/yyyy")</f>
        <v/>
      </c>
      <c r="D39" s="51">
        <f>IFERROR(EDATE(DATE(VALUE(RIGHT(D5,4)),MATCH(LEFT(D5,3),{"Jan","Fev","Mar","Abr","Mai","Jun","Jul","Ago","Set","Out","Nov","Dez"},0),5),25),"—")</f>
        <v/>
      </c>
      <c r="E39" s="39">
        <f>$H$4</f>
        <v/>
      </c>
      <c r="F39" s="52">
        <f>IFERROR(F38-H38-J38,0)</f>
        <v/>
      </c>
      <c r="G39" s="53">
        <f>IF($H$4="PRICE",$L$4,IF($H$4="SAC",$L$5,0))</f>
        <v/>
      </c>
      <c r="H39" s="54">
        <f>IFERROR(IF($H$4="SAC",$D$4/$D$6,G39-I39-K39),0)</f>
        <v/>
      </c>
      <c r="I39" s="55">
        <f>IFERROR(F39*$D$7,0)</f>
        <v/>
      </c>
      <c r="J39" s="44" t="n"/>
      <c r="K39" s="56">
        <f>IFERROR($H$5,0)</f>
        <v/>
      </c>
      <c r="L39" s="46" t="n"/>
      <c r="M39" s="44" t="n"/>
      <c r="N39" s="47">
        <f>IFERROR(N38+M39,N38)</f>
        <v/>
      </c>
      <c r="O39" s="48">
        <f>IF(M39="","⏳ PENDENTE",IF(M39&gt;=G39,"✅ PAGO","⚠️ PARCIAL"))</f>
        <v/>
      </c>
    </row>
    <row r="40" ht="19" customHeight="1">
      <c r="A40" s="5" t="n"/>
      <c r="B40" s="36" t="n">
        <v>27</v>
      </c>
      <c r="C40" s="37">
        <f>IFERROR(TEXT(EDATE(DATE(VALUE(RIGHT(D5,4)),MATCH(LEFT(D5,3),{"Jan","Fev","Mar","Abr","Mai","Jun","Jul","Ago","Set","Out","Nov","Dez"},0),1),26),"mmm/yyyy")</f>
        <v/>
      </c>
      <c r="D40" s="38">
        <f>IFERROR(EDATE(DATE(VALUE(RIGHT(D5,4)),MATCH(LEFT(D5,3),{"Jan","Fev","Mar","Abr","Mai","Jun","Jul","Ago","Set","Out","Nov","Dez"},0),5),26),"—")</f>
        <v/>
      </c>
      <c r="E40" s="39">
        <f>$H$4</f>
        <v/>
      </c>
      <c r="F40" s="40">
        <f>IFERROR(F39-H39-J39,0)</f>
        <v/>
      </c>
      <c r="G40" s="41">
        <f>IF($H$4="PRICE",$L$4,IF($H$4="SAC",$L$5,0))</f>
        <v/>
      </c>
      <c r="H40" s="42">
        <f>IFERROR(IF($H$4="SAC",$D$4/$D$6,G40-I40-K40),0)</f>
        <v/>
      </c>
      <c r="I40" s="43">
        <f>IFERROR(F40*$D$7,0)</f>
        <v/>
      </c>
      <c r="J40" s="44" t="n"/>
      <c r="K40" s="45">
        <f>IFERROR($H$5,0)</f>
        <v/>
      </c>
      <c r="L40" s="46" t="n"/>
      <c r="M40" s="44" t="n"/>
      <c r="N40" s="47">
        <f>IFERROR(N39+M40,N39)</f>
        <v/>
      </c>
      <c r="O40" s="48">
        <f>IF(M40="","⏳ PENDENTE",IF(M40&gt;=G40,"✅ PAGO","⚠️ PARCIAL"))</f>
        <v/>
      </c>
    </row>
    <row r="41" ht="19" customHeight="1">
      <c r="A41" s="1" t="n"/>
      <c r="B41" s="49" t="n">
        <v>28</v>
      </c>
      <c r="C41" s="50">
        <f>IFERROR(TEXT(EDATE(DATE(VALUE(RIGHT(D5,4)),MATCH(LEFT(D5,3),{"Jan","Fev","Mar","Abr","Mai","Jun","Jul","Ago","Set","Out","Nov","Dez"},0),1),27),"mmm/yyyy")</f>
        <v/>
      </c>
      <c r="D41" s="51">
        <f>IFERROR(EDATE(DATE(VALUE(RIGHT(D5,4)),MATCH(LEFT(D5,3),{"Jan","Fev","Mar","Abr","Mai","Jun","Jul","Ago","Set","Out","Nov","Dez"},0),5),27),"—")</f>
        <v/>
      </c>
      <c r="E41" s="39">
        <f>$H$4</f>
        <v/>
      </c>
      <c r="F41" s="52">
        <f>IFERROR(F40-H40-J40,0)</f>
        <v/>
      </c>
      <c r="G41" s="53">
        <f>IF($H$4="PRICE",$L$4,IF($H$4="SAC",$L$5,0))</f>
        <v/>
      </c>
      <c r="H41" s="54">
        <f>IFERROR(IF($H$4="SAC",$D$4/$D$6,G41-I41-K41),0)</f>
        <v/>
      </c>
      <c r="I41" s="55">
        <f>IFERROR(F41*$D$7,0)</f>
        <v/>
      </c>
      <c r="J41" s="44" t="n"/>
      <c r="K41" s="56">
        <f>IFERROR($H$5,0)</f>
        <v/>
      </c>
      <c r="L41" s="46" t="n"/>
      <c r="M41" s="44" t="n"/>
      <c r="N41" s="47">
        <f>IFERROR(N40+M41,N40)</f>
        <v/>
      </c>
      <c r="O41" s="48">
        <f>IF(M41="","⏳ PENDENTE",IF(M41&gt;=G41,"✅ PAGO","⚠️ PARCIAL"))</f>
        <v/>
      </c>
    </row>
    <row r="42" ht="19" customHeight="1">
      <c r="A42" s="5" t="n"/>
      <c r="B42" s="36" t="n">
        <v>29</v>
      </c>
      <c r="C42" s="37">
        <f>IFERROR(TEXT(EDATE(DATE(VALUE(RIGHT(D5,4)),MATCH(LEFT(D5,3),{"Jan","Fev","Mar","Abr","Mai","Jun","Jul","Ago","Set","Out","Nov","Dez"},0),1),28),"mmm/yyyy")</f>
        <v/>
      </c>
      <c r="D42" s="38">
        <f>IFERROR(EDATE(DATE(VALUE(RIGHT(D5,4)),MATCH(LEFT(D5,3),{"Jan","Fev","Mar","Abr","Mai","Jun","Jul","Ago","Set","Out","Nov","Dez"},0),5),28),"—")</f>
        <v/>
      </c>
      <c r="E42" s="39">
        <f>$H$4</f>
        <v/>
      </c>
      <c r="F42" s="40">
        <f>IFERROR(F41-H41-J41,0)</f>
        <v/>
      </c>
      <c r="G42" s="41">
        <f>IF($H$4="PRICE",$L$4,IF($H$4="SAC",$L$5,0))</f>
        <v/>
      </c>
      <c r="H42" s="42">
        <f>IFERROR(IF($H$4="SAC",$D$4/$D$6,G42-I42-K42),0)</f>
        <v/>
      </c>
      <c r="I42" s="43">
        <f>IFERROR(F42*$D$7,0)</f>
        <v/>
      </c>
      <c r="J42" s="44" t="n"/>
      <c r="K42" s="45">
        <f>IFERROR($H$5,0)</f>
        <v/>
      </c>
      <c r="L42" s="46" t="n"/>
      <c r="M42" s="44" t="n"/>
      <c r="N42" s="47">
        <f>IFERROR(N41+M42,N41)</f>
        <v/>
      </c>
      <c r="O42" s="48">
        <f>IF(M42="","⏳ PENDENTE",IF(M42&gt;=G42,"✅ PAGO","⚠️ PARCIAL"))</f>
        <v/>
      </c>
    </row>
    <row r="43" ht="19" customHeight="1">
      <c r="A43" s="1" t="n"/>
      <c r="B43" s="49" t="n">
        <v>30</v>
      </c>
      <c r="C43" s="50">
        <f>IFERROR(TEXT(EDATE(DATE(VALUE(RIGHT(D5,4)),MATCH(LEFT(D5,3),{"Jan","Fev","Mar","Abr","Mai","Jun","Jul","Ago","Set","Out","Nov","Dez"},0),1),29),"mmm/yyyy")</f>
        <v/>
      </c>
      <c r="D43" s="51">
        <f>IFERROR(EDATE(DATE(VALUE(RIGHT(D5,4)),MATCH(LEFT(D5,3),{"Jan","Fev","Mar","Abr","Mai","Jun","Jul","Ago","Set","Out","Nov","Dez"},0),5),29),"—")</f>
        <v/>
      </c>
      <c r="E43" s="39">
        <f>$H$4</f>
        <v/>
      </c>
      <c r="F43" s="52">
        <f>IFERROR(F42-H42-J42,0)</f>
        <v/>
      </c>
      <c r="G43" s="53">
        <f>IF($H$4="PRICE",$L$4,IF($H$4="SAC",$L$5,0))</f>
        <v/>
      </c>
      <c r="H43" s="54">
        <f>IFERROR(IF($H$4="SAC",$D$4/$D$6,G43-I43-K43),0)</f>
        <v/>
      </c>
      <c r="I43" s="55">
        <f>IFERROR(F43*$D$7,0)</f>
        <v/>
      </c>
      <c r="J43" s="44" t="n"/>
      <c r="K43" s="56">
        <f>IFERROR($H$5,0)</f>
        <v/>
      </c>
      <c r="L43" s="46" t="n"/>
      <c r="M43" s="44" t="n"/>
      <c r="N43" s="47">
        <f>IFERROR(N42+M43,N42)</f>
        <v/>
      </c>
      <c r="O43" s="48">
        <f>IF(M43="","⏳ PENDENTE",IF(M43&gt;=G43,"✅ PAGO","⚠️ PARCIAL"))</f>
        <v/>
      </c>
    </row>
    <row r="44" ht="19" customHeight="1">
      <c r="A44" s="5" t="n"/>
      <c r="B44" s="36" t="n">
        <v>31</v>
      </c>
      <c r="C44" s="37">
        <f>IFERROR(TEXT(EDATE(DATE(VALUE(RIGHT(D5,4)),MATCH(LEFT(D5,3),{"Jan","Fev","Mar","Abr","Mai","Jun","Jul","Ago","Set","Out","Nov","Dez"},0),1),30),"mmm/yyyy")</f>
        <v/>
      </c>
      <c r="D44" s="38">
        <f>IFERROR(EDATE(DATE(VALUE(RIGHT(D5,4)),MATCH(LEFT(D5,3),{"Jan","Fev","Mar","Abr","Mai","Jun","Jul","Ago","Set","Out","Nov","Dez"},0),5),30),"—")</f>
        <v/>
      </c>
      <c r="E44" s="39">
        <f>$H$4</f>
        <v/>
      </c>
      <c r="F44" s="40">
        <f>IFERROR(F43-H43-J43,0)</f>
        <v/>
      </c>
      <c r="G44" s="41">
        <f>IF($H$4="PRICE",$L$4,IF($H$4="SAC",$L$5,0))</f>
        <v/>
      </c>
      <c r="H44" s="42">
        <f>IFERROR(IF($H$4="SAC",$D$4/$D$6,G44-I44-K44),0)</f>
        <v/>
      </c>
      <c r="I44" s="43">
        <f>IFERROR(F44*$D$7,0)</f>
        <v/>
      </c>
      <c r="J44" s="44" t="n"/>
      <c r="K44" s="45">
        <f>IFERROR($H$5,0)</f>
        <v/>
      </c>
      <c r="L44" s="46" t="n"/>
      <c r="M44" s="44" t="n"/>
      <c r="N44" s="47">
        <f>IFERROR(N43+M44,N43)</f>
        <v/>
      </c>
      <c r="O44" s="48">
        <f>IF(M44="","⏳ PENDENTE",IF(M44&gt;=G44,"✅ PAGO","⚠️ PARCIAL"))</f>
        <v/>
      </c>
    </row>
    <row r="45" ht="19" customHeight="1">
      <c r="A45" s="1" t="n"/>
      <c r="B45" s="49" t="n">
        <v>32</v>
      </c>
      <c r="C45" s="50">
        <f>IFERROR(TEXT(EDATE(DATE(VALUE(RIGHT(D5,4)),MATCH(LEFT(D5,3),{"Jan","Fev","Mar","Abr","Mai","Jun","Jul","Ago","Set","Out","Nov","Dez"},0),1),31),"mmm/yyyy")</f>
        <v/>
      </c>
      <c r="D45" s="51">
        <f>IFERROR(EDATE(DATE(VALUE(RIGHT(D5,4)),MATCH(LEFT(D5,3),{"Jan","Fev","Mar","Abr","Mai","Jun","Jul","Ago","Set","Out","Nov","Dez"},0),5),31),"—")</f>
        <v/>
      </c>
      <c r="E45" s="39">
        <f>$H$4</f>
        <v/>
      </c>
      <c r="F45" s="52">
        <f>IFERROR(F44-H44-J44,0)</f>
        <v/>
      </c>
      <c r="G45" s="53">
        <f>IF($H$4="PRICE",$L$4,IF($H$4="SAC",$L$5,0))</f>
        <v/>
      </c>
      <c r="H45" s="54">
        <f>IFERROR(IF($H$4="SAC",$D$4/$D$6,G45-I45-K45),0)</f>
        <v/>
      </c>
      <c r="I45" s="55">
        <f>IFERROR(F45*$D$7,0)</f>
        <v/>
      </c>
      <c r="J45" s="44" t="n"/>
      <c r="K45" s="56">
        <f>IFERROR($H$5,0)</f>
        <v/>
      </c>
      <c r="L45" s="46" t="n"/>
      <c r="M45" s="44" t="n"/>
      <c r="N45" s="47">
        <f>IFERROR(N44+M45,N44)</f>
        <v/>
      </c>
      <c r="O45" s="48">
        <f>IF(M45="","⏳ PENDENTE",IF(M45&gt;=G45,"✅ PAGO","⚠️ PARCIAL"))</f>
        <v/>
      </c>
    </row>
    <row r="46" ht="19" customHeight="1">
      <c r="A46" s="5" t="n"/>
      <c r="B46" s="36" t="n">
        <v>33</v>
      </c>
      <c r="C46" s="37">
        <f>IFERROR(TEXT(EDATE(DATE(VALUE(RIGHT(D5,4)),MATCH(LEFT(D5,3),{"Jan","Fev","Mar","Abr","Mai","Jun","Jul","Ago","Set","Out","Nov","Dez"},0),1),32),"mmm/yyyy")</f>
        <v/>
      </c>
      <c r="D46" s="38">
        <f>IFERROR(EDATE(DATE(VALUE(RIGHT(D5,4)),MATCH(LEFT(D5,3),{"Jan","Fev","Mar","Abr","Mai","Jun","Jul","Ago","Set","Out","Nov","Dez"},0),5),32),"—")</f>
        <v/>
      </c>
      <c r="E46" s="39">
        <f>$H$4</f>
        <v/>
      </c>
      <c r="F46" s="40">
        <f>IFERROR(F45-H45-J45,0)</f>
        <v/>
      </c>
      <c r="G46" s="41">
        <f>IF($H$4="PRICE",$L$4,IF($H$4="SAC",$L$5,0))</f>
        <v/>
      </c>
      <c r="H46" s="42">
        <f>IFERROR(IF($H$4="SAC",$D$4/$D$6,G46-I46-K46),0)</f>
        <v/>
      </c>
      <c r="I46" s="43">
        <f>IFERROR(F46*$D$7,0)</f>
        <v/>
      </c>
      <c r="J46" s="44" t="n"/>
      <c r="K46" s="45">
        <f>IFERROR($H$5,0)</f>
        <v/>
      </c>
      <c r="L46" s="46" t="n"/>
      <c r="M46" s="44" t="n"/>
      <c r="N46" s="47">
        <f>IFERROR(N45+M46,N45)</f>
        <v/>
      </c>
      <c r="O46" s="48">
        <f>IF(M46="","⏳ PENDENTE",IF(M46&gt;=G46,"✅ PAGO","⚠️ PARCIAL"))</f>
        <v/>
      </c>
    </row>
    <row r="47" ht="19" customHeight="1">
      <c r="A47" s="1" t="n"/>
      <c r="B47" s="49" t="n">
        <v>34</v>
      </c>
      <c r="C47" s="50">
        <f>IFERROR(TEXT(EDATE(DATE(VALUE(RIGHT(D5,4)),MATCH(LEFT(D5,3),{"Jan","Fev","Mar","Abr","Mai","Jun","Jul","Ago","Set","Out","Nov","Dez"},0),1),33),"mmm/yyyy")</f>
        <v/>
      </c>
      <c r="D47" s="51">
        <f>IFERROR(EDATE(DATE(VALUE(RIGHT(D5,4)),MATCH(LEFT(D5,3),{"Jan","Fev","Mar","Abr","Mai","Jun","Jul","Ago","Set","Out","Nov","Dez"},0),5),33),"—")</f>
        <v/>
      </c>
      <c r="E47" s="39">
        <f>$H$4</f>
        <v/>
      </c>
      <c r="F47" s="52">
        <f>IFERROR(F46-H46-J46,0)</f>
        <v/>
      </c>
      <c r="G47" s="53">
        <f>IF($H$4="PRICE",$L$4,IF($H$4="SAC",$L$5,0))</f>
        <v/>
      </c>
      <c r="H47" s="54">
        <f>IFERROR(IF($H$4="SAC",$D$4/$D$6,G47-I47-K47),0)</f>
        <v/>
      </c>
      <c r="I47" s="55">
        <f>IFERROR(F47*$D$7,0)</f>
        <v/>
      </c>
      <c r="J47" s="44" t="n"/>
      <c r="K47" s="56">
        <f>IFERROR($H$5,0)</f>
        <v/>
      </c>
      <c r="L47" s="46" t="n"/>
      <c r="M47" s="44" t="n"/>
      <c r="N47" s="47">
        <f>IFERROR(N46+M47,N46)</f>
        <v/>
      </c>
      <c r="O47" s="48">
        <f>IF(M47="","⏳ PENDENTE",IF(M47&gt;=G47,"✅ PAGO","⚠️ PARCIAL"))</f>
        <v/>
      </c>
    </row>
    <row r="48" ht="19" customHeight="1">
      <c r="A48" s="5" t="n"/>
      <c r="B48" s="36" t="n">
        <v>35</v>
      </c>
      <c r="C48" s="37">
        <f>IFERROR(TEXT(EDATE(DATE(VALUE(RIGHT(D5,4)),MATCH(LEFT(D5,3),{"Jan","Fev","Mar","Abr","Mai","Jun","Jul","Ago","Set","Out","Nov","Dez"},0),1),34),"mmm/yyyy")</f>
        <v/>
      </c>
      <c r="D48" s="38">
        <f>IFERROR(EDATE(DATE(VALUE(RIGHT(D5,4)),MATCH(LEFT(D5,3),{"Jan","Fev","Mar","Abr","Mai","Jun","Jul","Ago","Set","Out","Nov","Dez"},0),5),34),"—")</f>
        <v/>
      </c>
      <c r="E48" s="39">
        <f>$H$4</f>
        <v/>
      </c>
      <c r="F48" s="40">
        <f>IFERROR(F47-H47-J47,0)</f>
        <v/>
      </c>
      <c r="G48" s="41">
        <f>IF($H$4="PRICE",$L$4,IF($H$4="SAC",$L$5,0))</f>
        <v/>
      </c>
      <c r="H48" s="42">
        <f>IFERROR(IF($H$4="SAC",$D$4/$D$6,G48-I48-K48),0)</f>
        <v/>
      </c>
      <c r="I48" s="43">
        <f>IFERROR(F48*$D$7,0)</f>
        <v/>
      </c>
      <c r="J48" s="44" t="n"/>
      <c r="K48" s="45">
        <f>IFERROR($H$5,0)</f>
        <v/>
      </c>
      <c r="L48" s="46" t="n"/>
      <c r="M48" s="44" t="n"/>
      <c r="N48" s="47">
        <f>IFERROR(N47+M48,N47)</f>
        <v/>
      </c>
      <c r="O48" s="48">
        <f>IF(M48="","⏳ PENDENTE",IF(M48&gt;=G48,"✅ PAGO","⚠️ PARCIAL"))</f>
        <v/>
      </c>
    </row>
    <row r="49" ht="19" customHeight="1">
      <c r="A49" s="1" t="n"/>
      <c r="B49" s="49" t="n">
        <v>36</v>
      </c>
      <c r="C49" s="50">
        <f>IFERROR(TEXT(EDATE(DATE(VALUE(RIGHT(D5,4)),MATCH(LEFT(D5,3),{"Jan","Fev","Mar","Abr","Mai","Jun","Jul","Ago","Set","Out","Nov","Dez"},0),1),35),"mmm/yyyy")</f>
        <v/>
      </c>
      <c r="D49" s="51">
        <f>IFERROR(EDATE(DATE(VALUE(RIGHT(D5,4)),MATCH(LEFT(D5,3),{"Jan","Fev","Mar","Abr","Mai","Jun","Jul","Ago","Set","Out","Nov","Dez"},0),5),35),"—")</f>
        <v/>
      </c>
      <c r="E49" s="39">
        <f>$H$4</f>
        <v/>
      </c>
      <c r="F49" s="52">
        <f>IFERROR(F48-H48-J48,0)</f>
        <v/>
      </c>
      <c r="G49" s="53">
        <f>IF($H$4="PRICE",$L$4,IF($H$4="SAC",$L$5,0))</f>
        <v/>
      </c>
      <c r="H49" s="54">
        <f>IFERROR(IF($H$4="SAC",$D$4/$D$6,G49-I49-K49),0)</f>
        <v/>
      </c>
      <c r="I49" s="55">
        <f>IFERROR(F49*$D$7,0)</f>
        <v/>
      </c>
      <c r="J49" s="44" t="n"/>
      <c r="K49" s="56">
        <f>IFERROR($H$5,0)</f>
        <v/>
      </c>
      <c r="L49" s="46" t="n"/>
      <c r="M49" s="44" t="n"/>
      <c r="N49" s="47">
        <f>IFERROR(N48+M49,N48)</f>
        <v/>
      </c>
      <c r="O49" s="48">
        <f>IF(M49="","⏳ PENDENTE",IF(M49&gt;=G49,"✅ PAGO","⚠️ PARCIAL"))</f>
        <v/>
      </c>
    </row>
    <row r="50" ht="19" customHeight="1">
      <c r="A50" s="5" t="n"/>
      <c r="B50" s="36" t="n">
        <v>37</v>
      </c>
      <c r="C50" s="37">
        <f>IFERROR(TEXT(EDATE(DATE(VALUE(RIGHT(D5,4)),MATCH(LEFT(D5,3),{"Jan","Fev","Mar","Abr","Mai","Jun","Jul","Ago","Set","Out","Nov","Dez"},0),1),36),"mmm/yyyy")</f>
        <v/>
      </c>
      <c r="D50" s="38">
        <f>IFERROR(EDATE(DATE(VALUE(RIGHT(D5,4)),MATCH(LEFT(D5,3),{"Jan","Fev","Mar","Abr","Mai","Jun","Jul","Ago","Set","Out","Nov","Dez"},0),5),36),"—")</f>
        <v/>
      </c>
      <c r="E50" s="39">
        <f>$H$4</f>
        <v/>
      </c>
      <c r="F50" s="40">
        <f>IFERROR(F49-H49-J49,0)</f>
        <v/>
      </c>
      <c r="G50" s="41">
        <f>IF($H$4="PRICE",$L$4,IF($H$4="SAC",$L$5,0))</f>
        <v/>
      </c>
      <c r="H50" s="42">
        <f>IFERROR(IF($H$4="SAC",$D$4/$D$6,G50-I50-K50),0)</f>
        <v/>
      </c>
      <c r="I50" s="43">
        <f>IFERROR(F50*$D$7,0)</f>
        <v/>
      </c>
      <c r="J50" s="44" t="n"/>
      <c r="K50" s="45">
        <f>IFERROR($H$5,0)</f>
        <v/>
      </c>
      <c r="L50" s="46" t="n"/>
      <c r="M50" s="44" t="n"/>
      <c r="N50" s="47">
        <f>IFERROR(N49+M50,N49)</f>
        <v/>
      </c>
      <c r="O50" s="48">
        <f>IF(M50="","⏳ PENDENTE",IF(M50&gt;=G50,"✅ PAGO","⚠️ PARCIAL"))</f>
        <v/>
      </c>
    </row>
    <row r="51" ht="19" customHeight="1">
      <c r="A51" s="1" t="n"/>
      <c r="B51" s="49" t="n">
        <v>38</v>
      </c>
      <c r="C51" s="50">
        <f>IFERROR(TEXT(EDATE(DATE(VALUE(RIGHT(D5,4)),MATCH(LEFT(D5,3),{"Jan","Fev","Mar","Abr","Mai","Jun","Jul","Ago","Set","Out","Nov","Dez"},0),1),37),"mmm/yyyy")</f>
        <v/>
      </c>
      <c r="D51" s="51">
        <f>IFERROR(EDATE(DATE(VALUE(RIGHT(D5,4)),MATCH(LEFT(D5,3),{"Jan","Fev","Mar","Abr","Mai","Jun","Jul","Ago","Set","Out","Nov","Dez"},0),5),37),"—")</f>
        <v/>
      </c>
      <c r="E51" s="39">
        <f>$H$4</f>
        <v/>
      </c>
      <c r="F51" s="52">
        <f>IFERROR(F50-H50-J50,0)</f>
        <v/>
      </c>
      <c r="G51" s="53">
        <f>IF($H$4="PRICE",$L$4,IF($H$4="SAC",$L$5,0))</f>
        <v/>
      </c>
      <c r="H51" s="54">
        <f>IFERROR(IF($H$4="SAC",$D$4/$D$6,G51-I51-K51),0)</f>
        <v/>
      </c>
      <c r="I51" s="55">
        <f>IFERROR(F51*$D$7,0)</f>
        <v/>
      </c>
      <c r="J51" s="44" t="n"/>
      <c r="K51" s="56">
        <f>IFERROR($H$5,0)</f>
        <v/>
      </c>
      <c r="L51" s="46" t="n"/>
      <c r="M51" s="44" t="n"/>
      <c r="N51" s="47">
        <f>IFERROR(N50+M51,N50)</f>
        <v/>
      </c>
      <c r="O51" s="48">
        <f>IF(M51="","⏳ PENDENTE",IF(M51&gt;=G51,"✅ PAGO","⚠️ PARCIAL"))</f>
        <v/>
      </c>
    </row>
    <row r="52" ht="19" customHeight="1">
      <c r="A52" s="5" t="n"/>
      <c r="B52" s="36" t="n">
        <v>39</v>
      </c>
      <c r="C52" s="37">
        <f>IFERROR(TEXT(EDATE(DATE(VALUE(RIGHT(D5,4)),MATCH(LEFT(D5,3),{"Jan","Fev","Mar","Abr","Mai","Jun","Jul","Ago","Set","Out","Nov","Dez"},0),1),38),"mmm/yyyy")</f>
        <v/>
      </c>
      <c r="D52" s="38">
        <f>IFERROR(EDATE(DATE(VALUE(RIGHT(D5,4)),MATCH(LEFT(D5,3),{"Jan","Fev","Mar","Abr","Mai","Jun","Jul","Ago","Set","Out","Nov","Dez"},0),5),38),"—")</f>
        <v/>
      </c>
      <c r="E52" s="39">
        <f>$H$4</f>
        <v/>
      </c>
      <c r="F52" s="40">
        <f>IFERROR(F51-H51-J51,0)</f>
        <v/>
      </c>
      <c r="G52" s="41">
        <f>IF($H$4="PRICE",$L$4,IF($H$4="SAC",$L$5,0))</f>
        <v/>
      </c>
      <c r="H52" s="42">
        <f>IFERROR(IF($H$4="SAC",$D$4/$D$6,G52-I52-K52),0)</f>
        <v/>
      </c>
      <c r="I52" s="43">
        <f>IFERROR(F52*$D$7,0)</f>
        <v/>
      </c>
      <c r="J52" s="44" t="n"/>
      <c r="K52" s="45">
        <f>IFERROR($H$5,0)</f>
        <v/>
      </c>
      <c r="L52" s="46" t="n"/>
      <c r="M52" s="44" t="n"/>
      <c r="N52" s="47">
        <f>IFERROR(N51+M52,N51)</f>
        <v/>
      </c>
      <c r="O52" s="48">
        <f>IF(M52="","⏳ PENDENTE",IF(M52&gt;=G52,"✅ PAGO","⚠️ PARCIAL"))</f>
        <v/>
      </c>
    </row>
    <row r="53" ht="19" customHeight="1">
      <c r="A53" s="1" t="n"/>
      <c r="B53" s="49" t="n">
        <v>40</v>
      </c>
      <c r="C53" s="50">
        <f>IFERROR(TEXT(EDATE(DATE(VALUE(RIGHT(D5,4)),MATCH(LEFT(D5,3),{"Jan","Fev","Mar","Abr","Mai","Jun","Jul","Ago","Set","Out","Nov","Dez"},0),1),39),"mmm/yyyy")</f>
        <v/>
      </c>
      <c r="D53" s="51">
        <f>IFERROR(EDATE(DATE(VALUE(RIGHT(D5,4)),MATCH(LEFT(D5,3),{"Jan","Fev","Mar","Abr","Mai","Jun","Jul","Ago","Set","Out","Nov","Dez"},0),5),39),"—")</f>
        <v/>
      </c>
      <c r="E53" s="39">
        <f>$H$4</f>
        <v/>
      </c>
      <c r="F53" s="52">
        <f>IFERROR(F52-H52-J52,0)</f>
        <v/>
      </c>
      <c r="G53" s="53">
        <f>IF($H$4="PRICE",$L$4,IF($H$4="SAC",$L$5,0))</f>
        <v/>
      </c>
      <c r="H53" s="54">
        <f>IFERROR(IF($H$4="SAC",$D$4/$D$6,G53-I53-K53),0)</f>
        <v/>
      </c>
      <c r="I53" s="55">
        <f>IFERROR(F53*$D$7,0)</f>
        <v/>
      </c>
      <c r="J53" s="44" t="n"/>
      <c r="K53" s="56">
        <f>IFERROR($H$5,0)</f>
        <v/>
      </c>
      <c r="L53" s="46" t="n"/>
      <c r="M53" s="44" t="n"/>
      <c r="N53" s="47">
        <f>IFERROR(N52+M53,N52)</f>
        <v/>
      </c>
      <c r="O53" s="48">
        <f>IF(M53="","⏳ PENDENTE",IF(M53&gt;=G53,"✅ PAGO","⚠️ PARCIAL"))</f>
        <v/>
      </c>
    </row>
    <row r="54" ht="19" customHeight="1">
      <c r="A54" s="5" t="n"/>
      <c r="B54" s="36" t="n">
        <v>41</v>
      </c>
      <c r="C54" s="37">
        <f>IFERROR(TEXT(EDATE(DATE(VALUE(RIGHT(D5,4)),MATCH(LEFT(D5,3),{"Jan","Fev","Mar","Abr","Mai","Jun","Jul","Ago","Set","Out","Nov","Dez"},0),1),40),"mmm/yyyy")</f>
        <v/>
      </c>
      <c r="D54" s="38">
        <f>IFERROR(EDATE(DATE(VALUE(RIGHT(D5,4)),MATCH(LEFT(D5,3),{"Jan","Fev","Mar","Abr","Mai","Jun","Jul","Ago","Set","Out","Nov","Dez"},0),5),40),"—")</f>
        <v/>
      </c>
      <c r="E54" s="39">
        <f>$H$4</f>
        <v/>
      </c>
      <c r="F54" s="40">
        <f>IFERROR(F53-H53-J53,0)</f>
        <v/>
      </c>
      <c r="G54" s="41">
        <f>IF($H$4="PRICE",$L$4,IF($H$4="SAC",$L$5,0))</f>
        <v/>
      </c>
      <c r="H54" s="42">
        <f>IFERROR(IF($H$4="SAC",$D$4/$D$6,G54-I54-K54),0)</f>
        <v/>
      </c>
      <c r="I54" s="43">
        <f>IFERROR(F54*$D$7,0)</f>
        <v/>
      </c>
      <c r="J54" s="44" t="n"/>
      <c r="K54" s="45">
        <f>IFERROR($H$5,0)</f>
        <v/>
      </c>
      <c r="L54" s="46" t="n"/>
      <c r="M54" s="44" t="n"/>
      <c r="N54" s="47">
        <f>IFERROR(N53+M54,N53)</f>
        <v/>
      </c>
      <c r="O54" s="48">
        <f>IF(M54="","⏳ PENDENTE",IF(M54&gt;=G54,"✅ PAGO","⚠️ PARCIAL"))</f>
        <v/>
      </c>
    </row>
    <row r="55" ht="19" customHeight="1">
      <c r="A55" s="1" t="n"/>
      <c r="B55" s="49" t="n">
        <v>42</v>
      </c>
      <c r="C55" s="50">
        <f>IFERROR(TEXT(EDATE(DATE(VALUE(RIGHT(D5,4)),MATCH(LEFT(D5,3),{"Jan","Fev","Mar","Abr","Mai","Jun","Jul","Ago","Set","Out","Nov","Dez"},0),1),41),"mmm/yyyy")</f>
        <v/>
      </c>
      <c r="D55" s="51">
        <f>IFERROR(EDATE(DATE(VALUE(RIGHT(D5,4)),MATCH(LEFT(D5,3),{"Jan","Fev","Mar","Abr","Mai","Jun","Jul","Ago","Set","Out","Nov","Dez"},0),5),41),"—")</f>
        <v/>
      </c>
      <c r="E55" s="39">
        <f>$H$4</f>
        <v/>
      </c>
      <c r="F55" s="52">
        <f>IFERROR(F54-H54-J54,0)</f>
        <v/>
      </c>
      <c r="G55" s="53">
        <f>IF($H$4="PRICE",$L$4,IF($H$4="SAC",$L$5,0))</f>
        <v/>
      </c>
      <c r="H55" s="54">
        <f>IFERROR(IF($H$4="SAC",$D$4/$D$6,G55-I55-K55),0)</f>
        <v/>
      </c>
      <c r="I55" s="55">
        <f>IFERROR(F55*$D$7,0)</f>
        <v/>
      </c>
      <c r="J55" s="44" t="n"/>
      <c r="K55" s="56">
        <f>IFERROR($H$5,0)</f>
        <v/>
      </c>
      <c r="L55" s="46" t="n"/>
      <c r="M55" s="44" t="n"/>
      <c r="N55" s="47">
        <f>IFERROR(N54+M55,N54)</f>
        <v/>
      </c>
      <c r="O55" s="48">
        <f>IF(M55="","⏳ PENDENTE",IF(M55&gt;=G55,"✅ PAGO","⚠️ PARCIAL"))</f>
        <v/>
      </c>
    </row>
    <row r="56" ht="19" customHeight="1">
      <c r="A56" s="5" t="n"/>
      <c r="B56" s="36" t="n">
        <v>43</v>
      </c>
      <c r="C56" s="37">
        <f>IFERROR(TEXT(EDATE(DATE(VALUE(RIGHT(D5,4)),MATCH(LEFT(D5,3),{"Jan","Fev","Mar","Abr","Mai","Jun","Jul","Ago","Set","Out","Nov","Dez"},0),1),42),"mmm/yyyy")</f>
        <v/>
      </c>
      <c r="D56" s="38">
        <f>IFERROR(EDATE(DATE(VALUE(RIGHT(D5,4)),MATCH(LEFT(D5,3),{"Jan","Fev","Mar","Abr","Mai","Jun","Jul","Ago","Set","Out","Nov","Dez"},0),5),42),"—")</f>
        <v/>
      </c>
      <c r="E56" s="39">
        <f>$H$4</f>
        <v/>
      </c>
      <c r="F56" s="40">
        <f>IFERROR(F55-H55-J55,0)</f>
        <v/>
      </c>
      <c r="G56" s="41">
        <f>IF($H$4="PRICE",$L$4,IF($H$4="SAC",$L$5,0))</f>
        <v/>
      </c>
      <c r="H56" s="42">
        <f>IFERROR(IF($H$4="SAC",$D$4/$D$6,G56-I56-K56),0)</f>
        <v/>
      </c>
      <c r="I56" s="43">
        <f>IFERROR(F56*$D$7,0)</f>
        <v/>
      </c>
      <c r="J56" s="44" t="n"/>
      <c r="K56" s="45">
        <f>IFERROR($H$5,0)</f>
        <v/>
      </c>
      <c r="L56" s="46" t="n"/>
      <c r="M56" s="44" t="n"/>
      <c r="N56" s="47">
        <f>IFERROR(N55+M56,N55)</f>
        <v/>
      </c>
      <c r="O56" s="48">
        <f>IF(M56="","⏳ PENDENTE",IF(M56&gt;=G56,"✅ PAGO","⚠️ PARCIAL"))</f>
        <v/>
      </c>
    </row>
    <row r="57" ht="19" customHeight="1">
      <c r="A57" s="1" t="n"/>
      <c r="B57" s="49" t="n">
        <v>44</v>
      </c>
      <c r="C57" s="50">
        <f>IFERROR(TEXT(EDATE(DATE(VALUE(RIGHT(D5,4)),MATCH(LEFT(D5,3),{"Jan","Fev","Mar","Abr","Mai","Jun","Jul","Ago","Set","Out","Nov","Dez"},0),1),43),"mmm/yyyy")</f>
        <v/>
      </c>
      <c r="D57" s="51">
        <f>IFERROR(EDATE(DATE(VALUE(RIGHT(D5,4)),MATCH(LEFT(D5,3),{"Jan","Fev","Mar","Abr","Mai","Jun","Jul","Ago","Set","Out","Nov","Dez"},0),5),43),"—")</f>
        <v/>
      </c>
      <c r="E57" s="39">
        <f>$H$4</f>
        <v/>
      </c>
      <c r="F57" s="52">
        <f>IFERROR(F56-H56-J56,0)</f>
        <v/>
      </c>
      <c r="G57" s="53">
        <f>IF($H$4="PRICE",$L$4,IF($H$4="SAC",$L$5,0))</f>
        <v/>
      </c>
      <c r="H57" s="54">
        <f>IFERROR(IF($H$4="SAC",$D$4/$D$6,G57-I57-K57),0)</f>
        <v/>
      </c>
      <c r="I57" s="55">
        <f>IFERROR(F57*$D$7,0)</f>
        <v/>
      </c>
      <c r="J57" s="44" t="n"/>
      <c r="K57" s="56">
        <f>IFERROR($H$5,0)</f>
        <v/>
      </c>
      <c r="L57" s="46" t="n"/>
      <c r="M57" s="44" t="n"/>
      <c r="N57" s="47">
        <f>IFERROR(N56+M57,N56)</f>
        <v/>
      </c>
      <c r="O57" s="48">
        <f>IF(M57="","⏳ PENDENTE",IF(M57&gt;=G57,"✅ PAGO","⚠️ PARCIAL"))</f>
        <v/>
      </c>
    </row>
    <row r="58" ht="19" customHeight="1">
      <c r="A58" s="5" t="n"/>
      <c r="B58" s="36" t="n">
        <v>45</v>
      </c>
      <c r="C58" s="37">
        <f>IFERROR(TEXT(EDATE(DATE(VALUE(RIGHT(D5,4)),MATCH(LEFT(D5,3),{"Jan","Fev","Mar","Abr","Mai","Jun","Jul","Ago","Set","Out","Nov","Dez"},0),1),44),"mmm/yyyy")</f>
        <v/>
      </c>
      <c r="D58" s="38">
        <f>IFERROR(EDATE(DATE(VALUE(RIGHT(D5,4)),MATCH(LEFT(D5,3),{"Jan","Fev","Mar","Abr","Mai","Jun","Jul","Ago","Set","Out","Nov","Dez"},0),5),44),"—")</f>
        <v/>
      </c>
      <c r="E58" s="39">
        <f>$H$4</f>
        <v/>
      </c>
      <c r="F58" s="40">
        <f>IFERROR(F57-H57-J57,0)</f>
        <v/>
      </c>
      <c r="G58" s="41">
        <f>IF($H$4="PRICE",$L$4,IF($H$4="SAC",$L$5,0))</f>
        <v/>
      </c>
      <c r="H58" s="42">
        <f>IFERROR(IF($H$4="SAC",$D$4/$D$6,G58-I58-K58),0)</f>
        <v/>
      </c>
      <c r="I58" s="43">
        <f>IFERROR(F58*$D$7,0)</f>
        <v/>
      </c>
      <c r="J58" s="44" t="n"/>
      <c r="K58" s="45">
        <f>IFERROR($H$5,0)</f>
        <v/>
      </c>
      <c r="L58" s="46" t="n"/>
      <c r="M58" s="44" t="n"/>
      <c r="N58" s="47">
        <f>IFERROR(N57+M58,N57)</f>
        <v/>
      </c>
      <c r="O58" s="48">
        <f>IF(M58="","⏳ PENDENTE",IF(M58&gt;=G58,"✅ PAGO","⚠️ PARCIAL"))</f>
        <v/>
      </c>
    </row>
    <row r="59" ht="19" customHeight="1">
      <c r="A59" s="1" t="n"/>
      <c r="B59" s="49" t="n">
        <v>46</v>
      </c>
      <c r="C59" s="50">
        <f>IFERROR(TEXT(EDATE(DATE(VALUE(RIGHT(D5,4)),MATCH(LEFT(D5,3),{"Jan","Fev","Mar","Abr","Mai","Jun","Jul","Ago","Set","Out","Nov","Dez"},0),1),45),"mmm/yyyy")</f>
        <v/>
      </c>
      <c r="D59" s="51">
        <f>IFERROR(EDATE(DATE(VALUE(RIGHT(D5,4)),MATCH(LEFT(D5,3),{"Jan","Fev","Mar","Abr","Mai","Jun","Jul","Ago","Set","Out","Nov","Dez"},0),5),45),"—")</f>
        <v/>
      </c>
      <c r="E59" s="39">
        <f>$H$4</f>
        <v/>
      </c>
      <c r="F59" s="52">
        <f>IFERROR(F58-H58-J58,0)</f>
        <v/>
      </c>
      <c r="G59" s="53">
        <f>IF($H$4="PRICE",$L$4,IF($H$4="SAC",$L$5,0))</f>
        <v/>
      </c>
      <c r="H59" s="54">
        <f>IFERROR(IF($H$4="SAC",$D$4/$D$6,G59-I59-K59),0)</f>
        <v/>
      </c>
      <c r="I59" s="55">
        <f>IFERROR(F59*$D$7,0)</f>
        <v/>
      </c>
      <c r="J59" s="44" t="n"/>
      <c r="K59" s="56">
        <f>IFERROR($H$5,0)</f>
        <v/>
      </c>
      <c r="L59" s="46" t="n"/>
      <c r="M59" s="44" t="n"/>
      <c r="N59" s="47">
        <f>IFERROR(N58+M59,N58)</f>
        <v/>
      </c>
      <c r="O59" s="48">
        <f>IF(M59="","⏳ PENDENTE",IF(M59&gt;=G59,"✅ PAGO","⚠️ PARCIAL"))</f>
        <v/>
      </c>
    </row>
    <row r="60" ht="19" customHeight="1">
      <c r="A60" s="5" t="n"/>
      <c r="B60" s="36" t="n">
        <v>47</v>
      </c>
      <c r="C60" s="37">
        <f>IFERROR(TEXT(EDATE(DATE(VALUE(RIGHT(D5,4)),MATCH(LEFT(D5,3),{"Jan","Fev","Mar","Abr","Mai","Jun","Jul","Ago","Set","Out","Nov","Dez"},0),1),46),"mmm/yyyy")</f>
        <v/>
      </c>
      <c r="D60" s="38">
        <f>IFERROR(EDATE(DATE(VALUE(RIGHT(D5,4)),MATCH(LEFT(D5,3),{"Jan","Fev","Mar","Abr","Mai","Jun","Jul","Ago","Set","Out","Nov","Dez"},0),5),46),"—")</f>
        <v/>
      </c>
      <c r="E60" s="39">
        <f>$H$4</f>
        <v/>
      </c>
      <c r="F60" s="40">
        <f>IFERROR(F59-H59-J59,0)</f>
        <v/>
      </c>
      <c r="G60" s="41">
        <f>IF($H$4="PRICE",$L$4,IF($H$4="SAC",$L$5,0))</f>
        <v/>
      </c>
      <c r="H60" s="42">
        <f>IFERROR(IF($H$4="SAC",$D$4/$D$6,G60-I60-K60),0)</f>
        <v/>
      </c>
      <c r="I60" s="43">
        <f>IFERROR(F60*$D$7,0)</f>
        <v/>
      </c>
      <c r="J60" s="44" t="n"/>
      <c r="K60" s="45">
        <f>IFERROR($H$5,0)</f>
        <v/>
      </c>
      <c r="L60" s="46" t="n"/>
      <c r="M60" s="44" t="n"/>
      <c r="N60" s="47">
        <f>IFERROR(N59+M60,N59)</f>
        <v/>
      </c>
      <c r="O60" s="48">
        <f>IF(M60="","⏳ PENDENTE",IF(M60&gt;=G60,"✅ PAGO","⚠️ PARCIAL"))</f>
        <v/>
      </c>
    </row>
    <row r="61" ht="19" customHeight="1">
      <c r="A61" s="1" t="n"/>
      <c r="B61" s="49" t="n">
        <v>48</v>
      </c>
      <c r="C61" s="50">
        <f>IFERROR(TEXT(EDATE(DATE(VALUE(RIGHT(D5,4)),MATCH(LEFT(D5,3),{"Jan","Fev","Mar","Abr","Mai","Jun","Jul","Ago","Set","Out","Nov","Dez"},0),1),47),"mmm/yyyy")</f>
        <v/>
      </c>
      <c r="D61" s="51">
        <f>IFERROR(EDATE(DATE(VALUE(RIGHT(D5,4)),MATCH(LEFT(D5,3),{"Jan","Fev","Mar","Abr","Mai","Jun","Jul","Ago","Set","Out","Nov","Dez"},0),5),47),"—")</f>
        <v/>
      </c>
      <c r="E61" s="39">
        <f>$H$4</f>
        <v/>
      </c>
      <c r="F61" s="52">
        <f>IFERROR(F60-H60-J60,0)</f>
        <v/>
      </c>
      <c r="G61" s="53">
        <f>IF($H$4="PRICE",$L$4,IF($H$4="SAC",$L$5,0))</f>
        <v/>
      </c>
      <c r="H61" s="54">
        <f>IFERROR(IF($H$4="SAC",$D$4/$D$6,G61-I61-K61),0)</f>
        <v/>
      </c>
      <c r="I61" s="55">
        <f>IFERROR(F61*$D$7,0)</f>
        <v/>
      </c>
      <c r="J61" s="44" t="n"/>
      <c r="K61" s="56">
        <f>IFERROR($H$5,0)</f>
        <v/>
      </c>
      <c r="L61" s="46" t="n"/>
      <c r="M61" s="44" t="n"/>
      <c r="N61" s="47">
        <f>IFERROR(N60+M61,N60)</f>
        <v/>
      </c>
      <c r="O61" s="48">
        <f>IF(M61="","⏳ PENDENTE",IF(M61&gt;=G61,"✅ PAGO","⚠️ PARCIAL"))</f>
        <v/>
      </c>
    </row>
    <row r="62" ht="19" customHeight="1">
      <c r="A62" s="5" t="n"/>
      <c r="B62" s="36" t="n">
        <v>49</v>
      </c>
      <c r="C62" s="37">
        <f>IFERROR(TEXT(EDATE(DATE(VALUE(RIGHT(D5,4)),MATCH(LEFT(D5,3),{"Jan","Fev","Mar","Abr","Mai","Jun","Jul","Ago","Set","Out","Nov","Dez"},0),1),48),"mmm/yyyy")</f>
        <v/>
      </c>
      <c r="D62" s="38">
        <f>IFERROR(EDATE(DATE(VALUE(RIGHT(D5,4)),MATCH(LEFT(D5,3),{"Jan","Fev","Mar","Abr","Mai","Jun","Jul","Ago","Set","Out","Nov","Dez"},0),5),48),"—")</f>
        <v/>
      </c>
      <c r="E62" s="39">
        <f>$H$4</f>
        <v/>
      </c>
      <c r="F62" s="40">
        <f>IFERROR(F61-H61-J61,0)</f>
        <v/>
      </c>
      <c r="G62" s="41">
        <f>IF($H$4="PRICE",$L$4,IF($H$4="SAC",$L$5,0))</f>
        <v/>
      </c>
      <c r="H62" s="42">
        <f>IFERROR(IF($H$4="SAC",$D$4/$D$6,G62-I62-K62),0)</f>
        <v/>
      </c>
      <c r="I62" s="43">
        <f>IFERROR(F62*$D$7,0)</f>
        <v/>
      </c>
      <c r="J62" s="44" t="n"/>
      <c r="K62" s="45">
        <f>IFERROR($H$5,0)</f>
        <v/>
      </c>
      <c r="L62" s="46" t="n"/>
      <c r="M62" s="44" t="n"/>
      <c r="N62" s="47">
        <f>IFERROR(N61+M62,N61)</f>
        <v/>
      </c>
      <c r="O62" s="48">
        <f>IF(M62="","⏳ PENDENTE",IF(M62&gt;=G62,"✅ PAGO","⚠️ PARCIAL"))</f>
        <v/>
      </c>
    </row>
    <row r="63" ht="19" customHeight="1">
      <c r="A63" s="1" t="n"/>
      <c r="B63" s="49" t="n">
        <v>50</v>
      </c>
      <c r="C63" s="50">
        <f>IFERROR(TEXT(EDATE(DATE(VALUE(RIGHT(D5,4)),MATCH(LEFT(D5,3),{"Jan","Fev","Mar","Abr","Mai","Jun","Jul","Ago","Set","Out","Nov","Dez"},0),1),49),"mmm/yyyy")</f>
        <v/>
      </c>
      <c r="D63" s="51">
        <f>IFERROR(EDATE(DATE(VALUE(RIGHT(D5,4)),MATCH(LEFT(D5,3),{"Jan","Fev","Mar","Abr","Mai","Jun","Jul","Ago","Set","Out","Nov","Dez"},0),5),49),"—")</f>
        <v/>
      </c>
      <c r="E63" s="39">
        <f>$H$4</f>
        <v/>
      </c>
      <c r="F63" s="52">
        <f>IFERROR(F62-H62-J62,0)</f>
        <v/>
      </c>
      <c r="G63" s="53">
        <f>IF($H$4="PRICE",$L$4,IF($H$4="SAC",$L$5,0))</f>
        <v/>
      </c>
      <c r="H63" s="54">
        <f>IFERROR(IF($H$4="SAC",$D$4/$D$6,G63-I63-K63),0)</f>
        <v/>
      </c>
      <c r="I63" s="55">
        <f>IFERROR(F63*$D$7,0)</f>
        <v/>
      </c>
      <c r="J63" s="44" t="n"/>
      <c r="K63" s="56">
        <f>IFERROR($H$5,0)</f>
        <v/>
      </c>
      <c r="L63" s="46" t="n"/>
      <c r="M63" s="44" t="n"/>
      <c r="N63" s="47">
        <f>IFERROR(N62+M63,N62)</f>
        <v/>
      </c>
      <c r="O63" s="48">
        <f>IF(M63="","⏳ PENDENTE",IF(M63&gt;=G63,"✅ PAGO","⚠️ PARCIAL"))</f>
        <v/>
      </c>
    </row>
    <row r="64" ht="19" customHeight="1">
      <c r="A64" s="5" t="n"/>
      <c r="B64" s="36" t="n">
        <v>51</v>
      </c>
      <c r="C64" s="37">
        <f>IFERROR(TEXT(EDATE(DATE(VALUE(RIGHT(D5,4)),MATCH(LEFT(D5,3),{"Jan","Fev","Mar","Abr","Mai","Jun","Jul","Ago","Set","Out","Nov","Dez"},0),1),50),"mmm/yyyy")</f>
        <v/>
      </c>
      <c r="D64" s="38">
        <f>IFERROR(EDATE(DATE(VALUE(RIGHT(D5,4)),MATCH(LEFT(D5,3),{"Jan","Fev","Mar","Abr","Mai","Jun","Jul","Ago","Set","Out","Nov","Dez"},0),5),50),"—")</f>
        <v/>
      </c>
      <c r="E64" s="39">
        <f>$H$4</f>
        <v/>
      </c>
      <c r="F64" s="40">
        <f>IFERROR(F63-H63-J63,0)</f>
        <v/>
      </c>
      <c r="G64" s="41">
        <f>IF($H$4="PRICE",$L$4,IF($H$4="SAC",$L$5,0))</f>
        <v/>
      </c>
      <c r="H64" s="42">
        <f>IFERROR(IF($H$4="SAC",$D$4/$D$6,G64-I64-K64),0)</f>
        <v/>
      </c>
      <c r="I64" s="43">
        <f>IFERROR(F64*$D$7,0)</f>
        <v/>
      </c>
      <c r="J64" s="44" t="n"/>
      <c r="K64" s="45">
        <f>IFERROR($H$5,0)</f>
        <v/>
      </c>
      <c r="L64" s="46" t="n"/>
      <c r="M64" s="44" t="n"/>
      <c r="N64" s="47">
        <f>IFERROR(N63+M64,N63)</f>
        <v/>
      </c>
      <c r="O64" s="48">
        <f>IF(M64="","⏳ PENDENTE",IF(M64&gt;=G64,"✅ PAGO","⚠️ PARCIAL"))</f>
        <v/>
      </c>
    </row>
    <row r="65" ht="19" customHeight="1">
      <c r="A65" s="1" t="n"/>
      <c r="B65" s="49" t="n">
        <v>52</v>
      </c>
      <c r="C65" s="50">
        <f>IFERROR(TEXT(EDATE(DATE(VALUE(RIGHT(D5,4)),MATCH(LEFT(D5,3),{"Jan","Fev","Mar","Abr","Mai","Jun","Jul","Ago","Set","Out","Nov","Dez"},0),1),51),"mmm/yyyy")</f>
        <v/>
      </c>
      <c r="D65" s="51">
        <f>IFERROR(EDATE(DATE(VALUE(RIGHT(D5,4)),MATCH(LEFT(D5,3),{"Jan","Fev","Mar","Abr","Mai","Jun","Jul","Ago","Set","Out","Nov","Dez"},0),5),51),"—")</f>
        <v/>
      </c>
      <c r="E65" s="39">
        <f>$H$4</f>
        <v/>
      </c>
      <c r="F65" s="52">
        <f>IFERROR(F64-H64-J64,0)</f>
        <v/>
      </c>
      <c r="G65" s="53">
        <f>IF($H$4="PRICE",$L$4,IF($H$4="SAC",$L$5,0))</f>
        <v/>
      </c>
      <c r="H65" s="54">
        <f>IFERROR(IF($H$4="SAC",$D$4/$D$6,G65-I65-K65),0)</f>
        <v/>
      </c>
      <c r="I65" s="55">
        <f>IFERROR(F65*$D$7,0)</f>
        <v/>
      </c>
      <c r="J65" s="44" t="n"/>
      <c r="K65" s="56">
        <f>IFERROR($H$5,0)</f>
        <v/>
      </c>
      <c r="L65" s="46" t="n"/>
      <c r="M65" s="44" t="n"/>
      <c r="N65" s="47">
        <f>IFERROR(N64+M65,N64)</f>
        <v/>
      </c>
      <c r="O65" s="48">
        <f>IF(M65="","⏳ PENDENTE",IF(M65&gt;=G65,"✅ PAGO","⚠️ PARCIAL"))</f>
        <v/>
      </c>
    </row>
    <row r="66" ht="19" customHeight="1">
      <c r="A66" s="5" t="n"/>
      <c r="B66" s="36" t="n">
        <v>53</v>
      </c>
      <c r="C66" s="37">
        <f>IFERROR(TEXT(EDATE(DATE(VALUE(RIGHT(D5,4)),MATCH(LEFT(D5,3),{"Jan","Fev","Mar","Abr","Mai","Jun","Jul","Ago","Set","Out","Nov","Dez"},0),1),52),"mmm/yyyy")</f>
        <v/>
      </c>
      <c r="D66" s="38">
        <f>IFERROR(EDATE(DATE(VALUE(RIGHT(D5,4)),MATCH(LEFT(D5,3),{"Jan","Fev","Mar","Abr","Mai","Jun","Jul","Ago","Set","Out","Nov","Dez"},0),5),52),"—")</f>
        <v/>
      </c>
      <c r="E66" s="39">
        <f>$H$4</f>
        <v/>
      </c>
      <c r="F66" s="40">
        <f>IFERROR(F65-H65-J65,0)</f>
        <v/>
      </c>
      <c r="G66" s="41">
        <f>IF($H$4="PRICE",$L$4,IF($H$4="SAC",$L$5,0))</f>
        <v/>
      </c>
      <c r="H66" s="42">
        <f>IFERROR(IF($H$4="SAC",$D$4/$D$6,G66-I66-K66),0)</f>
        <v/>
      </c>
      <c r="I66" s="43">
        <f>IFERROR(F66*$D$7,0)</f>
        <v/>
      </c>
      <c r="J66" s="44" t="n"/>
      <c r="K66" s="45">
        <f>IFERROR($H$5,0)</f>
        <v/>
      </c>
      <c r="L66" s="46" t="n"/>
      <c r="M66" s="44" t="n"/>
      <c r="N66" s="47">
        <f>IFERROR(N65+M66,N65)</f>
        <v/>
      </c>
      <c r="O66" s="48">
        <f>IF(M66="","⏳ PENDENTE",IF(M66&gt;=G66,"✅ PAGO","⚠️ PARCIAL"))</f>
        <v/>
      </c>
    </row>
    <row r="67" ht="19" customHeight="1">
      <c r="A67" s="1" t="n"/>
      <c r="B67" s="49" t="n">
        <v>54</v>
      </c>
      <c r="C67" s="50">
        <f>IFERROR(TEXT(EDATE(DATE(VALUE(RIGHT(D5,4)),MATCH(LEFT(D5,3),{"Jan","Fev","Mar","Abr","Mai","Jun","Jul","Ago","Set","Out","Nov","Dez"},0),1),53),"mmm/yyyy")</f>
        <v/>
      </c>
      <c r="D67" s="51">
        <f>IFERROR(EDATE(DATE(VALUE(RIGHT(D5,4)),MATCH(LEFT(D5,3),{"Jan","Fev","Mar","Abr","Mai","Jun","Jul","Ago","Set","Out","Nov","Dez"},0),5),53),"—")</f>
        <v/>
      </c>
      <c r="E67" s="39">
        <f>$H$4</f>
        <v/>
      </c>
      <c r="F67" s="52">
        <f>IFERROR(F66-H66-J66,0)</f>
        <v/>
      </c>
      <c r="G67" s="53">
        <f>IF($H$4="PRICE",$L$4,IF($H$4="SAC",$L$5,0))</f>
        <v/>
      </c>
      <c r="H67" s="54">
        <f>IFERROR(IF($H$4="SAC",$D$4/$D$6,G67-I67-K67),0)</f>
        <v/>
      </c>
      <c r="I67" s="55">
        <f>IFERROR(F67*$D$7,0)</f>
        <v/>
      </c>
      <c r="J67" s="44" t="n"/>
      <c r="K67" s="56">
        <f>IFERROR($H$5,0)</f>
        <v/>
      </c>
      <c r="L67" s="46" t="n"/>
      <c r="M67" s="44" t="n"/>
      <c r="N67" s="47">
        <f>IFERROR(N66+M67,N66)</f>
        <v/>
      </c>
      <c r="O67" s="48">
        <f>IF(M67="","⏳ PENDENTE",IF(M67&gt;=G67,"✅ PAGO","⚠️ PARCIAL"))</f>
        <v/>
      </c>
    </row>
    <row r="68" ht="19" customHeight="1">
      <c r="A68" s="5" t="n"/>
      <c r="B68" s="36" t="n">
        <v>55</v>
      </c>
      <c r="C68" s="37">
        <f>IFERROR(TEXT(EDATE(DATE(VALUE(RIGHT(D5,4)),MATCH(LEFT(D5,3),{"Jan","Fev","Mar","Abr","Mai","Jun","Jul","Ago","Set","Out","Nov","Dez"},0),1),54),"mmm/yyyy")</f>
        <v/>
      </c>
      <c r="D68" s="38">
        <f>IFERROR(EDATE(DATE(VALUE(RIGHT(D5,4)),MATCH(LEFT(D5,3),{"Jan","Fev","Mar","Abr","Mai","Jun","Jul","Ago","Set","Out","Nov","Dez"},0),5),54),"—")</f>
        <v/>
      </c>
      <c r="E68" s="39">
        <f>$H$4</f>
        <v/>
      </c>
      <c r="F68" s="40">
        <f>IFERROR(F67-H67-J67,0)</f>
        <v/>
      </c>
      <c r="G68" s="41">
        <f>IF($H$4="PRICE",$L$4,IF($H$4="SAC",$L$5,0))</f>
        <v/>
      </c>
      <c r="H68" s="42">
        <f>IFERROR(IF($H$4="SAC",$D$4/$D$6,G68-I68-K68),0)</f>
        <v/>
      </c>
      <c r="I68" s="43">
        <f>IFERROR(F68*$D$7,0)</f>
        <v/>
      </c>
      <c r="J68" s="44" t="n"/>
      <c r="K68" s="45">
        <f>IFERROR($H$5,0)</f>
        <v/>
      </c>
      <c r="L68" s="46" t="n"/>
      <c r="M68" s="44" t="n"/>
      <c r="N68" s="47">
        <f>IFERROR(N67+M68,N67)</f>
        <v/>
      </c>
      <c r="O68" s="48">
        <f>IF(M68="","⏳ PENDENTE",IF(M68&gt;=G68,"✅ PAGO","⚠️ PARCIAL"))</f>
        <v/>
      </c>
    </row>
    <row r="69" ht="19" customHeight="1">
      <c r="A69" s="1" t="n"/>
      <c r="B69" s="49" t="n">
        <v>56</v>
      </c>
      <c r="C69" s="50">
        <f>IFERROR(TEXT(EDATE(DATE(VALUE(RIGHT(D5,4)),MATCH(LEFT(D5,3),{"Jan","Fev","Mar","Abr","Mai","Jun","Jul","Ago","Set","Out","Nov","Dez"},0),1),55),"mmm/yyyy")</f>
        <v/>
      </c>
      <c r="D69" s="51">
        <f>IFERROR(EDATE(DATE(VALUE(RIGHT(D5,4)),MATCH(LEFT(D5,3),{"Jan","Fev","Mar","Abr","Mai","Jun","Jul","Ago","Set","Out","Nov","Dez"},0),5),55),"—")</f>
        <v/>
      </c>
      <c r="E69" s="39">
        <f>$H$4</f>
        <v/>
      </c>
      <c r="F69" s="52">
        <f>IFERROR(F68-H68-J68,0)</f>
        <v/>
      </c>
      <c r="G69" s="53">
        <f>IF($H$4="PRICE",$L$4,IF($H$4="SAC",$L$5,0))</f>
        <v/>
      </c>
      <c r="H69" s="54">
        <f>IFERROR(IF($H$4="SAC",$D$4/$D$6,G69-I69-K69),0)</f>
        <v/>
      </c>
      <c r="I69" s="55">
        <f>IFERROR(F69*$D$7,0)</f>
        <v/>
      </c>
      <c r="J69" s="44" t="n"/>
      <c r="K69" s="56">
        <f>IFERROR($H$5,0)</f>
        <v/>
      </c>
      <c r="L69" s="46" t="n"/>
      <c r="M69" s="44" t="n"/>
      <c r="N69" s="47">
        <f>IFERROR(N68+M69,N68)</f>
        <v/>
      </c>
      <c r="O69" s="48">
        <f>IF(M69="","⏳ PENDENTE",IF(M69&gt;=G69,"✅ PAGO","⚠️ PARCIAL"))</f>
        <v/>
      </c>
    </row>
    <row r="70" ht="19" customHeight="1">
      <c r="A70" s="5" t="n"/>
      <c r="B70" s="36" t="n">
        <v>57</v>
      </c>
      <c r="C70" s="37">
        <f>IFERROR(TEXT(EDATE(DATE(VALUE(RIGHT(D5,4)),MATCH(LEFT(D5,3),{"Jan","Fev","Mar","Abr","Mai","Jun","Jul","Ago","Set","Out","Nov","Dez"},0),1),56),"mmm/yyyy")</f>
        <v/>
      </c>
      <c r="D70" s="38">
        <f>IFERROR(EDATE(DATE(VALUE(RIGHT(D5,4)),MATCH(LEFT(D5,3),{"Jan","Fev","Mar","Abr","Mai","Jun","Jul","Ago","Set","Out","Nov","Dez"},0),5),56),"—")</f>
        <v/>
      </c>
      <c r="E70" s="39">
        <f>$H$4</f>
        <v/>
      </c>
      <c r="F70" s="40">
        <f>IFERROR(F69-H69-J69,0)</f>
        <v/>
      </c>
      <c r="G70" s="41">
        <f>IF($H$4="PRICE",$L$4,IF($H$4="SAC",$L$5,0))</f>
        <v/>
      </c>
      <c r="H70" s="42">
        <f>IFERROR(IF($H$4="SAC",$D$4/$D$6,G70-I70-K70),0)</f>
        <v/>
      </c>
      <c r="I70" s="43">
        <f>IFERROR(F70*$D$7,0)</f>
        <v/>
      </c>
      <c r="J70" s="44" t="n"/>
      <c r="K70" s="45">
        <f>IFERROR($H$5,0)</f>
        <v/>
      </c>
      <c r="L70" s="46" t="n"/>
      <c r="M70" s="44" t="n"/>
      <c r="N70" s="47">
        <f>IFERROR(N69+M70,N69)</f>
        <v/>
      </c>
      <c r="O70" s="48">
        <f>IF(M70="","⏳ PENDENTE",IF(M70&gt;=G70,"✅ PAGO","⚠️ PARCIAL"))</f>
        <v/>
      </c>
    </row>
    <row r="71" ht="19" customHeight="1">
      <c r="A71" s="1" t="n"/>
      <c r="B71" s="49" t="n">
        <v>58</v>
      </c>
      <c r="C71" s="50">
        <f>IFERROR(TEXT(EDATE(DATE(VALUE(RIGHT(D5,4)),MATCH(LEFT(D5,3),{"Jan","Fev","Mar","Abr","Mai","Jun","Jul","Ago","Set","Out","Nov","Dez"},0),1),57),"mmm/yyyy")</f>
        <v/>
      </c>
      <c r="D71" s="51">
        <f>IFERROR(EDATE(DATE(VALUE(RIGHT(D5,4)),MATCH(LEFT(D5,3),{"Jan","Fev","Mar","Abr","Mai","Jun","Jul","Ago","Set","Out","Nov","Dez"},0),5),57),"—")</f>
        <v/>
      </c>
      <c r="E71" s="39">
        <f>$H$4</f>
        <v/>
      </c>
      <c r="F71" s="52">
        <f>IFERROR(F70-H70-J70,0)</f>
        <v/>
      </c>
      <c r="G71" s="53">
        <f>IF($H$4="PRICE",$L$4,IF($H$4="SAC",$L$5,0))</f>
        <v/>
      </c>
      <c r="H71" s="54">
        <f>IFERROR(IF($H$4="SAC",$D$4/$D$6,G71-I71-K71),0)</f>
        <v/>
      </c>
      <c r="I71" s="55">
        <f>IFERROR(F71*$D$7,0)</f>
        <v/>
      </c>
      <c r="J71" s="44" t="n"/>
      <c r="K71" s="56">
        <f>IFERROR($H$5,0)</f>
        <v/>
      </c>
      <c r="L71" s="46" t="n"/>
      <c r="M71" s="44" t="n"/>
      <c r="N71" s="47">
        <f>IFERROR(N70+M71,N70)</f>
        <v/>
      </c>
      <c r="O71" s="48">
        <f>IF(M71="","⏳ PENDENTE",IF(M71&gt;=G71,"✅ PAGO","⚠️ PARCIAL"))</f>
        <v/>
      </c>
    </row>
    <row r="72" ht="19" customHeight="1">
      <c r="A72" s="5" t="n"/>
      <c r="B72" s="36" t="n">
        <v>59</v>
      </c>
      <c r="C72" s="37">
        <f>IFERROR(TEXT(EDATE(DATE(VALUE(RIGHT(D5,4)),MATCH(LEFT(D5,3),{"Jan","Fev","Mar","Abr","Mai","Jun","Jul","Ago","Set","Out","Nov","Dez"},0),1),58),"mmm/yyyy")</f>
        <v/>
      </c>
      <c r="D72" s="38">
        <f>IFERROR(EDATE(DATE(VALUE(RIGHT(D5,4)),MATCH(LEFT(D5,3),{"Jan","Fev","Mar","Abr","Mai","Jun","Jul","Ago","Set","Out","Nov","Dez"},0),5),58),"—")</f>
        <v/>
      </c>
      <c r="E72" s="39">
        <f>$H$4</f>
        <v/>
      </c>
      <c r="F72" s="40">
        <f>IFERROR(F71-H71-J71,0)</f>
        <v/>
      </c>
      <c r="G72" s="41">
        <f>IF($H$4="PRICE",$L$4,IF($H$4="SAC",$L$5,0))</f>
        <v/>
      </c>
      <c r="H72" s="42">
        <f>IFERROR(IF($H$4="SAC",$D$4/$D$6,G72-I72-K72),0)</f>
        <v/>
      </c>
      <c r="I72" s="43">
        <f>IFERROR(F72*$D$7,0)</f>
        <v/>
      </c>
      <c r="J72" s="44" t="n"/>
      <c r="K72" s="45">
        <f>IFERROR($H$5,0)</f>
        <v/>
      </c>
      <c r="L72" s="46" t="n"/>
      <c r="M72" s="44" t="n"/>
      <c r="N72" s="47">
        <f>IFERROR(N71+M72,N71)</f>
        <v/>
      </c>
      <c r="O72" s="48">
        <f>IF(M72="","⏳ PENDENTE",IF(M72&gt;=G72,"✅ PAGO","⚠️ PARCIAL"))</f>
        <v/>
      </c>
    </row>
    <row r="73" ht="19" customHeight="1">
      <c r="A73" s="1" t="n"/>
      <c r="B73" s="49" t="n">
        <v>60</v>
      </c>
      <c r="C73" s="50">
        <f>IFERROR(TEXT(EDATE(DATE(VALUE(RIGHT(D5,4)),MATCH(LEFT(D5,3),{"Jan","Fev","Mar","Abr","Mai","Jun","Jul","Ago","Set","Out","Nov","Dez"},0),1),59),"mmm/yyyy")</f>
        <v/>
      </c>
      <c r="D73" s="51">
        <f>IFERROR(EDATE(DATE(VALUE(RIGHT(D5,4)),MATCH(LEFT(D5,3),{"Jan","Fev","Mar","Abr","Mai","Jun","Jul","Ago","Set","Out","Nov","Dez"},0),5),59),"—")</f>
        <v/>
      </c>
      <c r="E73" s="39">
        <f>$H$4</f>
        <v/>
      </c>
      <c r="F73" s="52">
        <f>IFERROR(F72-H72-J72,0)</f>
        <v/>
      </c>
      <c r="G73" s="53">
        <f>IF($H$4="PRICE",$L$4,IF($H$4="SAC",$L$5,0))</f>
        <v/>
      </c>
      <c r="H73" s="54">
        <f>IFERROR(IF($H$4="SAC",$D$4/$D$6,G73-I73-K73),0)</f>
        <v/>
      </c>
      <c r="I73" s="55">
        <f>IFERROR(F73*$D$7,0)</f>
        <v/>
      </c>
      <c r="J73" s="44" t="n"/>
      <c r="K73" s="56">
        <f>IFERROR($H$5,0)</f>
        <v/>
      </c>
      <c r="L73" s="46" t="n"/>
      <c r="M73" s="44" t="n"/>
      <c r="N73" s="47">
        <f>IFERROR(N72+M73,N72)</f>
        <v/>
      </c>
      <c r="O73" s="48">
        <f>IF(M73="","⏳ PENDENTE",IF(M73&gt;=G73,"✅ PAGO","⚠️ PARCIAL"))</f>
        <v/>
      </c>
    </row>
    <row r="74" ht="19" customHeight="1">
      <c r="A74" s="5" t="n"/>
      <c r="B74" s="36" t="n">
        <v>61</v>
      </c>
      <c r="C74" s="37">
        <f>IFERROR(TEXT(EDATE(DATE(VALUE(RIGHT(D5,4)),MATCH(LEFT(D5,3),{"Jan","Fev","Mar","Abr","Mai","Jun","Jul","Ago","Set","Out","Nov","Dez"},0),1),60),"mmm/yyyy")</f>
        <v/>
      </c>
      <c r="D74" s="38">
        <f>IFERROR(EDATE(DATE(VALUE(RIGHT(D5,4)),MATCH(LEFT(D5,3),{"Jan","Fev","Mar","Abr","Mai","Jun","Jul","Ago","Set","Out","Nov","Dez"},0),5),60),"—")</f>
        <v/>
      </c>
      <c r="E74" s="39">
        <f>$H$4</f>
        <v/>
      </c>
      <c r="F74" s="40">
        <f>IFERROR(F73-H73-J73,0)</f>
        <v/>
      </c>
      <c r="G74" s="41">
        <f>IF($H$4="PRICE",$L$4,IF($H$4="SAC",$L$5,0))</f>
        <v/>
      </c>
      <c r="H74" s="42">
        <f>IFERROR(IF($H$4="SAC",$D$4/$D$6,G74-I74-K74),0)</f>
        <v/>
      </c>
      <c r="I74" s="43">
        <f>IFERROR(F74*$D$7,0)</f>
        <v/>
      </c>
      <c r="J74" s="44" t="n"/>
      <c r="K74" s="45">
        <f>IFERROR($H$5,0)</f>
        <v/>
      </c>
      <c r="L74" s="46" t="n"/>
      <c r="M74" s="44" t="n"/>
      <c r="N74" s="47">
        <f>IFERROR(N73+M74,N73)</f>
        <v/>
      </c>
      <c r="O74" s="48">
        <f>IF(M74="","⏳ PENDENTE",IF(M74&gt;=G74,"✅ PAGO","⚠️ PARCIAL"))</f>
        <v/>
      </c>
    </row>
    <row r="75" ht="19" customHeight="1">
      <c r="A75" s="1" t="n"/>
      <c r="B75" s="49" t="n">
        <v>62</v>
      </c>
      <c r="C75" s="50">
        <f>IFERROR(TEXT(EDATE(DATE(VALUE(RIGHT(D5,4)),MATCH(LEFT(D5,3),{"Jan","Fev","Mar","Abr","Mai","Jun","Jul","Ago","Set","Out","Nov","Dez"},0),1),61),"mmm/yyyy")</f>
        <v/>
      </c>
      <c r="D75" s="51">
        <f>IFERROR(EDATE(DATE(VALUE(RIGHT(D5,4)),MATCH(LEFT(D5,3),{"Jan","Fev","Mar","Abr","Mai","Jun","Jul","Ago","Set","Out","Nov","Dez"},0),5),61),"—")</f>
        <v/>
      </c>
      <c r="E75" s="39">
        <f>$H$4</f>
        <v/>
      </c>
      <c r="F75" s="52">
        <f>IFERROR(F74-H74-J74,0)</f>
        <v/>
      </c>
      <c r="G75" s="53">
        <f>IF($H$4="PRICE",$L$4,IF($H$4="SAC",$L$5,0))</f>
        <v/>
      </c>
      <c r="H75" s="54">
        <f>IFERROR(IF($H$4="SAC",$D$4/$D$6,G75-I75-K75),0)</f>
        <v/>
      </c>
      <c r="I75" s="55">
        <f>IFERROR(F75*$D$7,0)</f>
        <v/>
      </c>
      <c r="J75" s="44" t="n"/>
      <c r="K75" s="56">
        <f>IFERROR($H$5,0)</f>
        <v/>
      </c>
      <c r="L75" s="46" t="n"/>
      <c r="M75" s="44" t="n"/>
      <c r="N75" s="47">
        <f>IFERROR(N74+M75,N74)</f>
        <v/>
      </c>
      <c r="O75" s="48">
        <f>IF(M75="","⏳ PENDENTE",IF(M75&gt;=G75,"✅ PAGO","⚠️ PARCIAL"))</f>
        <v/>
      </c>
    </row>
    <row r="76" ht="19" customHeight="1">
      <c r="A76" s="5" t="n"/>
      <c r="B76" s="36" t="n">
        <v>63</v>
      </c>
      <c r="C76" s="37">
        <f>IFERROR(TEXT(EDATE(DATE(VALUE(RIGHT(D5,4)),MATCH(LEFT(D5,3),{"Jan","Fev","Mar","Abr","Mai","Jun","Jul","Ago","Set","Out","Nov","Dez"},0),1),62),"mmm/yyyy")</f>
        <v/>
      </c>
      <c r="D76" s="38">
        <f>IFERROR(EDATE(DATE(VALUE(RIGHT(D5,4)),MATCH(LEFT(D5,3),{"Jan","Fev","Mar","Abr","Mai","Jun","Jul","Ago","Set","Out","Nov","Dez"},0),5),62),"—")</f>
        <v/>
      </c>
      <c r="E76" s="39">
        <f>$H$4</f>
        <v/>
      </c>
      <c r="F76" s="40">
        <f>IFERROR(F75-H75-J75,0)</f>
        <v/>
      </c>
      <c r="G76" s="41">
        <f>IF($H$4="PRICE",$L$4,IF($H$4="SAC",$L$5,0))</f>
        <v/>
      </c>
      <c r="H76" s="42">
        <f>IFERROR(IF($H$4="SAC",$D$4/$D$6,G76-I76-K76),0)</f>
        <v/>
      </c>
      <c r="I76" s="43">
        <f>IFERROR(F76*$D$7,0)</f>
        <v/>
      </c>
      <c r="J76" s="44" t="n"/>
      <c r="K76" s="45">
        <f>IFERROR($H$5,0)</f>
        <v/>
      </c>
      <c r="L76" s="46" t="n"/>
      <c r="M76" s="44" t="n"/>
      <c r="N76" s="47">
        <f>IFERROR(N75+M76,N75)</f>
        <v/>
      </c>
      <c r="O76" s="48">
        <f>IF(M76="","⏳ PENDENTE",IF(M76&gt;=G76,"✅ PAGO","⚠️ PARCIAL"))</f>
        <v/>
      </c>
    </row>
    <row r="77" ht="19" customHeight="1">
      <c r="A77" s="1" t="n"/>
      <c r="B77" s="49" t="n">
        <v>64</v>
      </c>
      <c r="C77" s="50">
        <f>IFERROR(TEXT(EDATE(DATE(VALUE(RIGHT(D5,4)),MATCH(LEFT(D5,3),{"Jan","Fev","Mar","Abr","Mai","Jun","Jul","Ago","Set","Out","Nov","Dez"},0),1),63),"mmm/yyyy")</f>
        <v/>
      </c>
      <c r="D77" s="51">
        <f>IFERROR(EDATE(DATE(VALUE(RIGHT(D5,4)),MATCH(LEFT(D5,3),{"Jan","Fev","Mar","Abr","Mai","Jun","Jul","Ago","Set","Out","Nov","Dez"},0),5),63),"—")</f>
        <v/>
      </c>
      <c r="E77" s="39">
        <f>$H$4</f>
        <v/>
      </c>
      <c r="F77" s="52">
        <f>IFERROR(F76-H76-J76,0)</f>
        <v/>
      </c>
      <c r="G77" s="53">
        <f>IF($H$4="PRICE",$L$4,IF($H$4="SAC",$L$5,0))</f>
        <v/>
      </c>
      <c r="H77" s="54">
        <f>IFERROR(IF($H$4="SAC",$D$4/$D$6,G77-I77-K77),0)</f>
        <v/>
      </c>
      <c r="I77" s="55">
        <f>IFERROR(F77*$D$7,0)</f>
        <v/>
      </c>
      <c r="J77" s="44" t="n"/>
      <c r="K77" s="56">
        <f>IFERROR($H$5,0)</f>
        <v/>
      </c>
      <c r="L77" s="46" t="n"/>
      <c r="M77" s="44" t="n"/>
      <c r="N77" s="47">
        <f>IFERROR(N76+M77,N76)</f>
        <v/>
      </c>
      <c r="O77" s="48">
        <f>IF(M77="","⏳ PENDENTE",IF(M77&gt;=G77,"✅ PAGO","⚠️ PARCIAL"))</f>
        <v/>
      </c>
    </row>
    <row r="78" ht="19" customHeight="1">
      <c r="A78" s="5" t="n"/>
      <c r="B78" s="36" t="n">
        <v>65</v>
      </c>
      <c r="C78" s="37">
        <f>IFERROR(TEXT(EDATE(DATE(VALUE(RIGHT(D5,4)),MATCH(LEFT(D5,3),{"Jan","Fev","Mar","Abr","Mai","Jun","Jul","Ago","Set","Out","Nov","Dez"},0),1),64),"mmm/yyyy")</f>
        <v/>
      </c>
      <c r="D78" s="38">
        <f>IFERROR(EDATE(DATE(VALUE(RIGHT(D5,4)),MATCH(LEFT(D5,3),{"Jan","Fev","Mar","Abr","Mai","Jun","Jul","Ago","Set","Out","Nov","Dez"},0),5),64),"—")</f>
        <v/>
      </c>
      <c r="E78" s="39">
        <f>$H$4</f>
        <v/>
      </c>
      <c r="F78" s="40">
        <f>IFERROR(F77-H77-J77,0)</f>
        <v/>
      </c>
      <c r="G78" s="41">
        <f>IF($H$4="PRICE",$L$4,IF($H$4="SAC",$L$5,0))</f>
        <v/>
      </c>
      <c r="H78" s="42">
        <f>IFERROR(IF($H$4="SAC",$D$4/$D$6,G78-I78-K78),0)</f>
        <v/>
      </c>
      <c r="I78" s="43">
        <f>IFERROR(F78*$D$7,0)</f>
        <v/>
      </c>
      <c r="J78" s="44" t="n"/>
      <c r="K78" s="45">
        <f>IFERROR($H$5,0)</f>
        <v/>
      </c>
      <c r="L78" s="46" t="n"/>
      <c r="M78" s="44" t="n"/>
      <c r="N78" s="47">
        <f>IFERROR(N77+M78,N77)</f>
        <v/>
      </c>
      <c r="O78" s="48">
        <f>IF(M78="","⏳ PENDENTE",IF(M78&gt;=G78,"✅ PAGO","⚠️ PARCIAL"))</f>
        <v/>
      </c>
    </row>
    <row r="79" ht="19" customHeight="1">
      <c r="A79" s="1" t="n"/>
      <c r="B79" s="49" t="n">
        <v>66</v>
      </c>
      <c r="C79" s="50">
        <f>IFERROR(TEXT(EDATE(DATE(VALUE(RIGHT(D5,4)),MATCH(LEFT(D5,3),{"Jan","Fev","Mar","Abr","Mai","Jun","Jul","Ago","Set","Out","Nov","Dez"},0),1),65),"mmm/yyyy")</f>
        <v/>
      </c>
      <c r="D79" s="51">
        <f>IFERROR(EDATE(DATE(VALUE(RIGHT(D5,4)),MATCH(LEFT(D5,3),{"Jan","Fev","Mar","Abr","Mai","Jun","Jul","Ago","Set","Out","Nov","Dez"},0),5),65),"—")</f>
        <v/>
      </c>
      <c r="E79" s="39">
        <f>$H$4</f>
        <v/>
      </c>
      <c r="F79" s="52">
        <f>IFERROR(F78-H78-J78,0)</f>
        <v/>
      </c>
      <c r="G79" s="53">
        <f>IF($H$4="PRICE",$L$4,IF($H$4="SAC",$L$5,0))</f>
        <v/>
      </c>
      <c r="H79" s="54">
        <f>IFERROR(IF($H$4="SAC",$D$4/$D$6,G79-I79-K79),0)</f>
        <v/>
      </c>
      <c r="I79" s="55">
        <f>IFERROR(F79*$D$7,0)</f>
        <v/>
      </c>
      <c r="J79" s="44" t="n"/>
      <c r="K79" s="56">
        <f>IFERROR($H$5,0)</f>
        <v/>
      </c>
      <c r="L79" s="46" t="n"/>
      <c r="M79" s="44" t="n"/>
      <c r="N79" s="47">
        <f>IFERROR(N78+M79,N78)</f>
        <v/>
      </c>
      <c r="O79" s="48">
        <f>IF(M79="","⏳ PENDENTE",IF(M79&gt;=G79,"✅ PAGO","⚠️ PARCIAL"))</f>
        <v/>
      </c>
    </row>
    <row r="80" ht="19" customHeight="1">
      <c r="A80" s="5" t="n"/>
      <c r="B80" s="36" t="n">
        <v>67</v>
      </c>
      <c r="C80" s="37">
        <f>IFERROR(TEXT(EDATE(DATE(VALUE(RIGHT(D5,4)),MATCH(LEFT(D5,3),{"Jan","Fev","Mar","Abr","Mai","Jun","Jul","Ago","Set","Out","Nov","Dez"},0),1),66),"mmm/yyyy")</f>
        <v/>
      </c>
      <c r="D80" s="38">
        <f>IFERROR(EDATE(DATE(VALUE(RIGHT(D5,4)),MATCH(LEFT(D5,3),{"Jan","Fev","Mar","Abr","Mai","Jun","Jul","Ago","Set","Out","Nov","Dez"},0),5),66),"—")</f>
        <v/>
      </c>
      <c r="E80" s="39">
        <f>$H$4</f>
        <v/>
      </c>
      <c r="F80" s="40">
        <f>IFERROR(F79-H79-J79,0)</f>
        <v/>
      </c>
      <c r="G80" s="41">
        <f>IF($H$4="PRICE",$L$4,IF($H$4="SAC",$L$5,0))</f>
        <v/>
      </c>
      <c r="H80" s="42">
        <f>IFERROR(IF($H$4="SAC",$D$4/$D$6,G80-I80-K80),0)</f>
        <v/>
      </c>
      <c r="I80" s="43">
        <f>IFERROR(F80*$D$7,0)</f>
        <v/>
      </c>
      <c r="J80" s="44" t="n"/>
      <c r="K80" s="45">
        <f>IFERROR($H$5,0)</f>
        <v/>
      </c>
      <c r="L80" s="46" t="n"/>
      <c r="M80" s="44" t="n"/>
      <c r="N80" s="47">
        <f>IFERROR(N79+M80,N79)</f>
        <v/>
      </c>
      <c r="O80" s="48">
        <f>IF(M80="","⏳ PENDENTE",IF(M80&gt;=G80,"✅ PAGO","⚠️ PARCIAL"))</f>
        <v/>
      </c>
    </row>
    <row r="81" ht="19" customHeight="1">
      <c r="A81" s="1" t="n"/>
      <c r="B81" s="49" t="n">
        <v>68</v>
      </c>
      <c r="C81" s="50">
        <f>IFERROR(TEXT(EDATE(DATE(VALUE(RIGHT(D5,4)),MATCH(LEFT(D5,3),{"Jan","Fev","Mar","Abr","Mai","Jun","Jul","Ago","Set","Out","Nov","Dez"},0),1),67),"mmm/yyyy")</f>
        <v/>
      </c>
      <c r="D81" s="51">
        <f>IFERROR(EDATE(DATE(VALUE(RIGHT(D5,4)),MATCH(LEFT(D5,3),{"Jan","Fev","Mar","Abr","Mai","Jun","Jul","Ago","Set","Out","Nov","Dez"},0),5),67),"—")</f>
        <v/>
      </c>
      <c r="E81" s="39">
        <f>$H$4</f>
        <v/>
      </c>
      <c r="F81" s="52">
        <f>IFERROR(F80-H80-J80,0)</f>
        <v/>
      </c>
      <c r="G81" s="53">
        <f>IF($H$4="PRICE",$L$4,IF($H$4="SAC",$L$5,0))</f>
        <v/>
      </c>
      <c r="H81" s="54">
        <f>IFERROR(IF($H$4="SAC",$D$4/$D$6,G81-I81-K81),0)</f>
        <v/>
      </c>
      <c r="I81" s="55">
        <f>IFERROR(F81*$D$7,0)</f>
        <v/>
      </c>
      <c r="J81" s="44" t="n"/>
      <c r="K81" s="56">
        <f>IFERROR($H$5,0)</f>
        <v/>
      </c>
      <c r="L81" s="46" t="n"/>
      <c r="M81" s="44" t="n"/>
      <c r="N81" s="47">
        <f>IFERROR(N80+M81,N80)</f>
        <v/>
      </c>
      <c r="O81" s="48">
        <f>IF(M81="","⏳ PENDENTE",IF(M81&gt;=G81,"✅ PAGO","⚠️ PARCIAL"))</f>
        <v/>
      </c>
    </row>
    <row r="82" ht="19" customHeight="1">
      <c r="A82" s="5" t="n"/>
      <c r="B82" s="36" t="n">
        <v>69</v>
      </c>
      <c r="C82" s="37">
        <f>IFERROR(TEXT(EDATE(DATE(VALUE(RIGHT(D5,4)),MATCH(LEFT(D5,3),{"Jan","Fev","Mar","Abr","Mai","Jun","Jul","Ago","Set","Out","Nov","Dez"},0),1),68),"mmm/yyyy")</f>
        <v/>
      </c>
      <c r="D82" s="38">
        <f>IFERROR(EDATE(DATE(VALUE(RIGHT(D5,4)),MATCH(LEFT(D5,3),{"Jan","Fev","Mar","Abr","Mai","Jun","Jul","Ago","Set","Out","Nov","Dez"},0),5),68),"—")</f>
        <v/>
      </c>
      <c r="E82" s="39">
        <f>$H$4</f>
        <v/>
      </c>
      <c r="F82" s="40">
        <f>IFERROR(F81-H81-J81,0)</f>
        <v/>
      </c>
      <c r="G82" s="41">
        <f>IF($H$4="PRICE",$L$4,IF($H$4="SAC",$L$5,0))</f>
        <v/>
      </c>
      <c r="H82" s="42">
        <f>IFERROR(IF($H$4="SAC",$D$4/$D$6,G82-I82-K82),0)</f>
        <v/>
      </c>
      <c r="I82" s="43">
        <f>IFERROR(F82*$D$7,0)</f>
        <v/>
      </c>
      <c r="J82" s="44" t="n"/>
      <c r="K82" s="45">
        <f>IFERROR($H$5,0)</f>
        <v/>
      </c>
      <c r="L82" s="46" t="n"/>
      <c r="M82" s="44" t="n"/>
      <c r="N82" s="47">
        <f>IFERROR(N81+M82,N81)</f>
        <v/>
      </c>
      <c r="O82" s="48">
        <f>IF(M82="","⏳ PENDENTE",IF(M82&gt;=G82,"✅ PAGO","⚠️ PARCIAL"))</f>
        <v/>
      </c>
    </row>
    <row r="83" ht="19" customHeight="1">
      <c r="A83" s="1" t="n"/>
      <c r="B83" s="49" t="n">
        <v>70</v>
      </c>
      <c r="C83" s="50">
        <f>IFERROR(TEXT(EDATE(DATE(VALUE(RIGHT(D5,4)),MATCH(LEFT(D5,3),{"Jan","Fev","Mar","Abr","Mai","Jun","Jul","Ago","Set","Out","Nov","Dez"},0),1),69),"mmm/yyyy")</f>
        <v/>
      </c>
      <c r="D83" s="51">
        <f>IFERROR(EDATE(DATE(VALUE(RIGHT(D5,4)),MATCH(LEFT(D5,3),{"Jan","Fev","Mar","Abr","Mai","Jun","Jul","Ago","Set","Out","Nov","Dez"},0),5),69),"—")</f>
        <v/>
      </c>
      <c r="E83" s="39">
        <f>$H$4</f>
        <v/>
      </c>
      <c r="F83" s="52">
        <f>IFERROR(F82-H82-J82,0)</f>
        <v/>
      </c>
      <c r="G83" s="53">
        <f>IF($H$4="PRICE",$L$4,IF($H$4="SAC",$L$5,0))</f>
        <v/>
      </c>
      <c r="H83" s="54">
        <f>IFERROR(IF($H$4="SAC",$D$4/$D$6,G83-I83-K83),0)</f>
        <v/>
      </c>
      <c r="I83" s="55">
        <f>IFERROR(F83*$D$7,0)</f>
        <v/>
      </c>
      <c r="J83" s="44" t="n"/>
      <c r="K83" s="56">
        <f>IFERROR($H$5,0)</f>
        <v/>
      </c>
      <c r="L83" s="46" t="n"/>
      <c r="M83" s="44" t="n"/>
      <c r="N83" s="47">
        <f>IFERROR(N82+M83,N82)</f>
        <v/>
      </c>
      <c r="O83" s="48">
        <f>IF(M83="","⏳ PENDENTE",IF(M83&gt;=G83,"✅ PAGO","⚠️ PARCIAL"))</f>
        <v/>
      </c>
    </row>
    <row r="84" ht="19" customHeight="1">
      <c r="A84" s="5" t="n"/>
      <c r="B84" s="36" t="n">
        <v>71</v>
      </c>
      <c r="C84" s="37">
        <f>IFERROR(TEXT(EDATE(DATE(VALUE(RIGHT(D5,4)),MATCH(LEFT(D5,3),{"Jan","Fev","Mar","Abr","Mai","Jun","Jul","Ago","Set","Out","Nov","Dez"},0),1),70),"mmm/yyyy")</f>
        <v/>
      </c>
      <c r="D84" s="38">
        <f>IFERROR(EDATE(DATE(VALUE(RIGHT(D5,4)),MATCH(LEFT(D5,3),{"Jan","Fev","Mar","Abr","Mai","Jun","Jul","Ago","Set","Out","Nov","Dez"},0),5),70),"—")</f>
        <v/>
      </c>
      <c r="E84" s="39">
        <f>$H$4</f>
        <v/>
      </c>
      <c r="F84" s="40">
        <f>IFERROR(F83-H83-J83,0)</f>
        <v/>
      </c>
      <c r="G84" s="41">
        <f>IF($H$4="PRICE",$L$4,IF($H$4="SAC",$L$5,0))</f>
        <v/>
      </c>
      <c r="H84" s="42">
        <f>IFERROR(IF($H$4="SAC",$D$4/$D$6,G84-I84-K84),0)</f>
        <v/>
      </c>
      <c r="I84" s="43">
        <f>IFERROR(F84*$D$7,0)</f>
        <v/>
      </c>
      <c r="J84" s="44" t="n"/>
      <c r="K84" s="45">
        <f>IFERROR($H$5,0)</f>
        <v/>
      </c>
      <c r="L84" s="46" t="n"/>
      <c r="M84" s="44" t="n"/>
      <c r="N84" s="47">
        <f>IFERROR(N83+M84,N83)</f>
        <v/>
      </c>
      <c r="O84" s="48">
        <f>IF(M84="","⏳ PENDENTE",IF(M84&gt;=G84,"✅ PAGO","⚠️ PARCIAL"))</f>
        <v/>
      </c>
    </row>
    <row r="85" ht="19" customHeight="1">
      <c r="A85" s="1" t="n"/>
      <c r="B85" s="49" t="n">
        <v>72</v>
      </c>
      <c r="C85" s="50">
        <f>IFERROR(TEXT(EDATE(DATE(VALUE(RIGHT(D5,4)),MATCH(LEFT(D5,3),{"Jan","Fev","Mar","Abr","Mai","Jun","Jul","Ago","Set","Out","Nov","Dez"},0),1),71),"mmm/yyyy")</f>
        <v/>
      </c>
      <c r="D85" s="51">
        <f>IFERROR(EDATE(DATE(VALUE(RIGHT(D5,4)),MATCH(LEFT(D5,3),{"Jan","Fev","Mar","Abr","Mai","Jun","Jul","Ago","Set","Out","Nov","Dez"},0),5),71),"—")</f>
        <v/>
      </c>
      <c r="E85" s="39">
        <f>$H$4</f>
        <v/>
      </c>
      <c r="F85" s="52">
        <f>IFERROR(F84-H84-J84,0)</f>
        <v/>
      </c>
      <c r="G85" s="53">
        <f>IF($H$4="PRICE",$L$4,IF($H$4="SAC",$L$5,0))</f>
        <v/>
      </c>
      <c r="H85" s="54">
        <f>IFERROR(IF($H$4="SAC",$D$4/$D$6,G85-I85-K85),0)</f>
        <v/>
      </c>
      <c r="I85" s="55">
        <f>IFERROR(F85*$D$7,0)</f>
        <v/>
      </c>
      <c r="J85" s="44" t="n"/>
      <c r="K85" s="56">
        <f>IFERROR($H$5,0)</f>
        <v/>
      </c>
      <c r="L85" s="46" t="n"/>
      <c r="M85" s="44" t="n"/>
      <c r="N85" s="47">
        <f>IFERROR(N84+M85,N84)</f>
        <v/>
      </c>
      <c r="O85" s="48">
        <f>IF(M85="","⏳ PENDENTE",IF(M85&gt;=G85,"✅ PAGO","⚠️ PARCIAL"))</f>
        <v/>
      </c>
    </row>
    <row r="86" ht="19" customHeight="1">
      <c r="A86" s="5" t="n"/>
      <c r="B86" s="36" t="n">
        <v>73</v>
      </c>
      <c r="C86" s="37">
        <f>IFERROR(TEXT(EDATE(DATE(VALUE(RIGHT(D5,4)),MATCH(LEFT(D5,3),{"Jan","Fev","Mar","Abr","Mai","Jun","Jul","Ago","Set","Out","Nov","Dez"},0),1),72),"mmm/yyyy")</f>
        <v/>
      </c>
      <c r="D86" s="38">
        <f>IFERROR(EDATE(DATE(VALUE(RIGHT(D5,4)),MATCH(LEFT(D5,3),{"Jan","Fev","Mar","Abr","Mai","Jun","Jul","Ago","Set","Out","Nov","Dez"},0),5),72),"—")</f>
        <v/>
      </c>
      <c r="E86" s="39">
        <f>$H$4</f>
        <v/>
      </c>
      <c r="F86" s="40">
        <f>IFERROR(F85-H85-J85,0)</f>
        <v/>
      </c>
      <c r="G86" s="41">
        <f>IF($H$4="PRICE",$L$4,IF($H$4="SAC",$L$5,0))</f>
        <v/>
      </c>
      <c r="H86" s="42">
        <f>IFERROR(IF($H$4="SAC",$D$4/$D$6,G86-I86-K86),0)</f>
        <v/>
      </c>
      <c r="I86" s="43">
        <f>IFERROR(F86*$D$7,0)</f>
        <v/>
      </c>
      <c r="J86" s="44" t="n"/>
      <c r="K86" s="45">
        <f>IFERROR($H$5,0)</f>
        <v/>
      </c>
      <c r="L86" s="46" t="n"/>
      <c r="M86" s="44" t="n"/>
      <c r="N86" s="47">
        <f>IFERROR(N85+M86,N85)</f>
        <v/>
      </c>
      <c r="O86" s="48">
        <f>IF(M86="","⏳ PENDENTE",IF(M86&gt;=G86,"✅ PAGO","⚠️ PARCIAL"))</f>
        <v/>
      </c>
    </row>
    <row r="87" ht="19" customHeight="1">
      <c r="A87" s="1" t="n"/>
      <c r="B87" s="49" t="n">
        <v>74</v>
      </c>
      <c r="C87" s="50">
        <f>IFERROR(TEXT(EDATE(DATE(VALUE(RIGHT(D5,4)),MATCH(LEFT(D5,3),{"Jan","Fev","Mar","Abr","Mai","Jun","Jul","Ago","Set","Out","Nov","Dez"},0),1),73),"mmm/yyyy")</f>
        <v/>
      </c>
      <c r="D87" s="51">
        <f>IFERROR(EDATE(DATE(VALUE(RIGHT(D5,4)),MATCH(LEFT(D5,3),{"Jan","Fev","Mar","Abr","Mai","Jun","Jul","Ago","Set","Out","Nov","Dez"},0),5),73),"—")</f>
        <v/>
      </c>
      <c r="E87" s="39">
        <f>$H$4</f>
        <v/>
      </c>
      <c r="F87" s="52">
        <f>IFERROR(F86-H86-J86,0)</f>
        <v/>
      </c>
      <c r="G87" s="53">
        <f>IF($H$4="PRICE",$L$4,IF($H$4="SAC",$L$5,0))</f>
        <v/>
      </c>
      <c r="H87" s="54">
        <f>IFERROR(IF($H$4="SAC",$D$4/$D$6,G87-I87-K87),0)</f>
        <v/>
      </c>
      <c r="I87" s="55">
        <f>IFERROR(F87*$D$7,0)</f>
        <v/>
      </c>
      <c r="J87" s="44" t="n"/>
      <c r="K87" s="56">
        <f>IFERROR($H$5,0)</f>
        <v/>
      </c>
      <c r="L87" s="46" t="n"/>
      <c r="M87" s="44" t="n"/>
      <c r="N87" s="47">
        <f>IFERROR(N86+M87,N86)</f>
        <v/>
      </c>
      <c r="O87" s="48">
        <f>IF(M87="","⏳ PENDENTE",IF(M87&gt;=G87,"✅ PAGO","⚠️ PARCIAL"))</f>
        <v/>
      </c>
    </row>
    <row r="88" ht="19" customHeight="1">
      <c r="A88" s="5" t="n"/>
      <c r="B88" s="36" t="n">
        <v>75</v>
      </c>
      <c r="C88" s="37">
        <f>IFERROR(TEXT(EDATE(DATE(VALUE(RIGHT(D5,4)),MATCH(LEFT(D5,3),{"Jan","Fev","Mar","Abr","Mai","Jun","Jul","Ago","Set","Out","Nov","Dez"},0),1),74),"mmm/yyyy")</f>
        <v/>
      </c>
      <c r="D88" s="38">
        <f>IFERROR(EDATE(DATE(VALUE(RIGHT(D5,4)),MATCH(LEFT(D5,3),{"Jan","Fev","Mar","Abr","Mai","Jun","Jul","Ago","Set","Out","Nov","Dez"},0),5),74),"—")</f>
        <v/>
      </c>
      <c r="E88" s="39">
        <f>$H$4</f>
        <v/>
      </c>
      <c r="F88" s="40">
        <f>IFERROR(F87-H87-J87,0)</f>
        <v/>
      </c>
      <c r="G88" s="41">
        <f>IF($H$4="PRICE",$L$4,IF($H$4="SAC",$L$5,0))</f>
        <v/>
      </c>
      <c r="H88" s="42">
        <f>IFERROR(IF($H$4="SAC",$D$4/$D$6,G88-I88-K88),0)</f>
        <v/>
      </c>
      <c r="I88" s="43">
        <f>IFERROR(F88*$D$7,0)</f>
        <v/>
      </c>
      <c r="J88" s="44" t="n"/>
      <c r="K88" s="45">
        <f>IFERROR($H$5,0)</f>
        <v/>
      </c>
      <c r="L88" s="46" t="n"/>
      <c r="M88" s="44" t="n"/>
      <c r="N88" s="47">
        <f>IFERROR(N87+M88,N87)</f>
        <v/>
      </c>
      <c r="O88" s="48">
        <f>IF(M88="","⏳ PENDENTE",IF(M88&gt;=G88,"✅ PAGO","⚠️ PARCIAL"))</f>
        <v/>
      </c>
    </row>
    <row r="89" ht="19" customHeight="1">
      <c r="A89" s="1" t="n"/>
      <c r="B89" s="49" t="n">
        <v>76</v>
      </c>
      <c r="C89" s="50">
        <f>IFERROR(TEXT(EDATE(DATE(VALUE(RIGHT(D5,4)),MATCH(LEFT(D5,3),{"Jan","Fev","Mar","Abr","Mai","Jun","Jul","Ago","Set","Out","Nov","Dez"},0),1),75),"mmm/yyyy")</f>
        <v/>
      </c>
      <c r="D89" s="51">
        <f>IFERROR(EDATE(DATE(VALUE(RIGHT(D5,4)),MATCH(LEFT(D5,3),{"Jan","Fev","Mar","Abr","Mai","Jun","Jul","Ago","Set","Out","Nov","Dez"},0),5),75),"—")</f>
        <v/>
      </c>
      <c r="E89" s="39">
        <f>$H$4</f>
        <v/>
      </c>
      <c r="F89" s="52">
        <f>IFERROR(F88-H88-J88,0)</f>
        <v/>
      </c>
      <c r="G89" s="53">
        <f>IF($H$4="PRICE",$L$4,IF($H$4="SAC",$L$5,0))</f>
        <v/>
      </c>
      <c r="H89" s="54">
        <f>IFERROR(IF($H$4="SAC",$D$4/$D$6,G89-I89-K89),0)</f>
        <v/>
      </c>
      <c r="I89" s="55">
        <f>IFERROR(F89*$D$7,0)</f>
        <v/>
      </c>
      <c r="J89" s="44" t="n"/>
      <c r="K89" s="56">
        <f>IFERROR($H$5,0)</f>
        <v/>
      </c>
      <c r="L89" s="46" t="n"/>
      <c r="M89" s="44" t="n"/>
      <c r="N89" s="47">
        <f>IFERROR(N88+M89,N88)</f>
        <v/>
      </c>
      <c r="O89" s="48">
        <f>IF(M89="","⏳ PENDENTE",IF(M89&gt;=G89,"✅ PAGO","⚠️ PARCIAL"))</f>
        <v/>
      </c>
    </row>
    <row r="90" ht="19" customHeight="1">
      <c r="A90" s="5" t="n"/>
      <c r="B90" s="36" t="n">
        <v>77</v>
      </c>
      <c r="C90" s="37">
        <f>IFERROR(TEXT(EDATE(DATE(VALUE(RIGHT(D5,4)),MATCH(LEFT(D5,3),{"Jan","Fev","Mar","Abr","Mai","Jun","Jul","Ago","Set","Out","Nov","Dez"},0),1),76),"mmm/yyyy")</f>
        <v/>
      </c>
      <c r="D90" s="38">
        <f>IFERROR(EDATE(DATE(VALUE(RIGHT(D5,4)),MATCH(LEFT(D5,3),{"Jan","Fev","Mar","Abr","Mai","Jun","Jul","Ago","Set","Out","Nov","Dez"},0),5),76),"—")</f>
        <v/>
      </c>
      <c r="E90" s="39">
        <f>$H$4</f>
        <v/>
      </c>
      <c r="F90" s="40">
        <f>IFERROR(F89-H89-J89,0)</f>
        <v/>
      </c>
      <c r="G90" s="41">
        <f>IF($H$4="PRICE",$L$4,IF($H$4="SAC",$L$5,0))</f>
        <v/>
      </c>
      <c r="H90" s="42">
        <f>IFERROR(IF($H$4="SAC",$D$4/$D$6,G90-I90-K90),0)</f>
        <v/>
      </c>
      <c r="I90" s="43">
        <f>IFERROR(F90*$D$7,0)</f>
        <v/>
      </c>
      <c r="J90" s="44" t="n"/>
      <c r="K90" s="45">
        <f>IFERROR($H$5,0)</f>
        <v/>
      </c>
      <c r="L90" s="46" t="n"/>
      <c r="M90" s="44" t="n"/>
      <c r="N90" s="47">
        <f>IFERROR(N89+M90,N89)</f>
        <v/>
      </c>
      <c r="O90" s="48">
        <f>IF(M90="","⏳ PENDENTE",IF(M90&gt;=G90,"✅ PAGO","⚠️ PARCIAL"))</f>
        <v/>
      </c>
    </row>
    <row r="91" ht="19" customHeight="1">
      <c r="A91" s="1" t="n"/>
      <c r="B91" s="49" t="n">
        <v>78</v>
      </c>
      <c r="C91" s="50">
        <f>IFERROR(TEXT(EDATE(DATE(VALUE(RIGHT(D5,4)),MATCH(LEFT(D5,3),{"Jan","Fev","Mar","Abr","Mai","Jun","Jul","Ago","Set","Out","Nov","Dez"},0),1),77),"mmm/yyyy")</f>
        <v/>
      </c>
      <c r="D91" s="51">
        <f>IFERROR(EDATE(DATE(VALUE(RIGHT(D5,4)),MATCH(LEFT(D5,3),{"Jan","Fev","Mar","Abr","Mai","Jun","Jul","Ago","Set","Out","Nov","Dez"},0),5),77),"—")</f>
        <v/>
      </c>
      <c r="E91" s="39">
        <f>$H$4</f>
        <v/>
      </c>
      <c r="F91" s="52">
        <f>IFERROR(F90-H90-J90,0)</f>
        <v/>
      </c>
      <c r="G91" s="53">
        <f>IF($H$4="PRICE",$L$4,IF($H$4="SAC",$L$5,0))</f>
        <v/>
      </c>
      <c r="H91" s="54">
        <f>IFERROR(IF($H$4="SAC",$D$4/$D$6,G91-I91-K91),0)</f>
        <v/>
      </c>
      <c r="I91" s="55">
        <f>IFERROR(F91*$D$7,0)</f>
        <v/>
      </c>
      <c r="J91" s="44" t="n"/>
      <c r="K91" s="56">
        <f>IFERROR($H$5,0)</f>
        <v/>
      </c>
      <c r="L91" s="46" t="n"/>
      <c r="M91" s="44" t="n"/>
      <c r="N91" s="47">
        <f>IFERROR(N90+M91,N90)</f>
        <v/>
      </c>
      <c r="O91" s="48">
        <f>IF(M91="","⏳ PENDENTE",IF(M91&gt;=G91,"✅ PAGO","⚠️ PARCIAL"))</f>
        <v/>
      </c>
    </row>
    <row r="92" ht="19" customHeight="1">
      <c r="A92" s="5" t="n"/>
      <c r="B92" s="36" t="n">
        <v>79</v>
      </c>
      <c r="C92" s="37">
        <f>IFERROR(TEXT(EDATE(DATE(VALUE(RIGHT(D5,4)),MATCH(LEFT(D5,3),{"Jan","Fev","Mar","Abr","Mai","Jun","Jul","Ago","Set","Out","Nov","Dez"},0),1),78),"mmm/yyyy")</f>
        <v/>
      </c>
      <c r="D92" s="38">
        <f>IFERROR(EDATE(DATE(VALUE(RIGHT(D5,4)),MATCH(LEFT(D5,3),{"Jan","Fev","Mar","Abr","Mai","Jun","Jul","Ago","Set","Out","Nov","Dez"},0),5),78),"—")</f>
        <v/>
      </c>
      <c r="E92" s="39">
        <f>$H$4</f>
        <v/>
      </c>
      <c r="F92" s="40">
        <f>IFERROR(F91-H91-J91,0)</f>
        <v/>
      </c>
      <c r="G92" s="41">
        <f>IF($H$4="PRICE",$L$4,IF($H$4="SAC",$L$5,0))</f>
        <v/>
      </c>
      <c r="H92" s="42">
        <f>IFERROR(IF($H$4="SAC",$D$4/$D$6,G92-I92-K92),0)</f>
        <v/>
      </c>
      <c r="I92" s="43">
        <f>IFERROR(F92*$D$7,0)</f>
        <v/>
      </c>
      <c r="J92" s="44" t="n"/>
      <c r="K92" s="45">
        <f>IFERROR($H$5,0)</f>
        <v/>
      </c>
      <c r="L92" s="46" t="n"/>
      <c r="M92" s="44" t="n"/>
      <c r="N92" s="47">
        <f>IFERROR(N91+M92,N91)</f>
        <v/>
      </c>
      <c r="O92" s="48">
        <f>IF(M92="","⏳ PENDENTE",IF(M92&gt;=G92,"✅ PAGO","⚠️ PARCIAL"))</f>
        <v/>
      </c>
    </row>
    <row r="93" ht="19" customHeight="1">
      <c r="A93" s="1" t="n"/>
      <c r="B93" s="49" t="n">
        <v>80</v>
      </c>
      <c r="C93" s="50">
        <f>IFERROR(TEXT(EDATE(DATE(VALUE(RIGHT(D5,4)),MATCH(LEFT(D5,3),{"Jan","Fev","Mar","Abr","Mai","Jun","Jul","Ago","Set","Out","Nov","Dez"},0),1),79),"mmm/yyyy")</f>
        <v/>
      </c>
      <c r="D93" s="51">
        <f>IFERROR(EDATE(DATE(VALUE(RIGHT(D5,4)),MATCH(LEFT(D5,3),{"Jan","Fev","Mar","Abr","Mai","Jun","Jul","Ago","Set","Out","Nov","Dez"},0),5),79),"—")</f>
        <v/>
      </c>
      <c r="E93" s="39">
        <f>$H$4</f>
        <v/>
      </c>
      <c r="F93" s="52">
        <f>IFERROR(F92-H92-J92,0)</f>
        <v/>
      </c>
      <c r="G93" s="53">
        <f>IF($H$4="PRICE",$L$4,IF($H$4="SAC",$L$5,0))</f>
        <v/>
      </c>
      <c r="H93" s="54">
        <f>IFERROR(IF($H$4="SAC",$D$4/$D$6,G93-I93-K93),0)</f>
        <v/>
      </c>
      <c r="I93" s="55">
        <f>IFERROR(F93*$D$7,0)</f>
        <v/>
      </c>
      <c r="J93" s="44" t="n"/>
      <c r="K93" s="56">
        <f>IFERROR($H$5,0)</f>
        <v/>
      </c>
      <c r="L93" s="46" t="n"/>
      <c r="M93" s="44" t="n"/>
      <c r="N93" s="47">
        <f>IFERROR(N92+M93,N92)</f>
        <v/>
      </c>
      <c r="O93" s="48">
        <f>IF(M93="","⏳ PENDENTE",IF(M93&gt;=G93,"✅ PAGO","⚠️ PARCIAL"))</f>
        <v/>
      </c>
    </row>
    <row r="94" ht="19" customHeight="1">
      <c r="A94" s="5" t="n"/>
      <c r="B94" s="36" t="n">
        <v>81</v>
      </c>
      <c r="C94" s="37">
        <f>IFERROR(TEXT(EDATE(DATE(VALUE(RIGHT(D5,4)),MATCH(LEFT(D5,3),{"Jan","Fev","Mar","Abr","Mai","Jun","Jul","Ago","Set","Out","Nov","Dez"},0),1),80),"mmm/yyyy")</f>
        <v/>
      </c>
      <c r="D94" s="38">
        <f>IFERROR(EDATE(DATE(VALUE(RIGHT(D5,4)),MATCH(LEFT(D5,3),{"Jan","Fev","Mar","Abr","Mai","Jun","Jul","Ago","Set","Out","Nov","Dez"},0),5),80),"—")</f>
        <v/>
      </c>
      <c r="E94" s="39">
        <f>$H$4</f>
        <v/>
      </c>
      <c r="F94" s="40">
        <f>IFERROR(F93-H93-J93,0)</f>
        <v/>
      </c>
      <c r="G94" s="41">
        <f>IF($H$4="PRICE",$L$4,IF($H$4="SAC",$L$5,0))</f>
        <v/>
      </c>
      <c r="H94" s="42">
        <f>IFERROR(IF($H$4="SAC",$D$4/$D$6,G94-I94-K94),0)</f>
        <v/>
      </c>
      <c r="I94" s="43">
        <f>IFERROR(F94*$D$7,0)</f>
        <v/>
      </c>
      <c r="J94" s="44" t="n"/>
      <c r="K94" s="45">
        <f>IFERROR($H$5,0)</f>
        <v/>
      </c>
      <c r="L94" s="46" t="n"/>
      <c r="M94" s="44" t="n"/>
      <c r="N94" s="47">
        <f>IFERROR(N93+M94,N93)</f>
        <v/>
      </c>
      <c r="O94" s="48">
        <f>IF(M94="","⏳ PENDENTE",IF(M94&gt;=G94,"✅ PAGO","⚠️ PARCIAL"))</f>
        <v/>
      </c>
    </row>
    <row r="95" ht="19" customHeight="1">
      <c r="A95" s="1" t="n"/>
      <c r="B95" s="49" t="n">
        <v>82</v>
      </c>
      <c r="C95" s="50">
        <f>IFERROR(TEXT(EDATE(DATE(VALUE(RIGHT(D5,4)),MATCH(LEFT(D5,3),{"Jan","Fev","Mar","Abr","Mai","Jun","Jul","Ago","Set","Out","Nov","Dez"},0),1),81),"mmm/yyyy")</f>
        <v/>
      </c>
      <c r="D95" s="51">
        <f>IFERROR(EDATE(DATE(VALUE(RIGHT(D5,4)),MATCH(LEFT(D5,3),{"Jan","Fev","Mar","Abr","Mai","Jun","Jul","Ago","Set","Out","Nov","Dez"},0),5),81),"—")</f>
        <v/>
      </c>
      <c r="E95" s="39">
        <f>$H$4</f>
        <v/>
      </c>
      <c r="F95" s="52">
        <f>IFERROR(F94-H94-J94,0)</f>
        <v/>
      </c>
      <c r="G95" s="53">
        <f>IF($H$4="PRICE",$L$4,IF($H$4="SAC",$L$5,0))</f>
        <v/>
      </c>
      <c r="H95" s="54">
        <f>IFERROR(IF($H$4="SAC",$D$4/$D$6,G95-I95-K95),0)</f>
        <v/>
      </c>
      <c r="I95" s="55">
        <f>IFERROR(F95*$D$7,0)</f>
        <v/>
      </c>
      <c r="J95" s="44" t="n"/>
      <c r="K95" s="56">
        <f>IFERROR($H$5,0)</f>
        <v/>
      </c>
      <c r="L95" s="46" t="n"/>
      <c r="M95" s="44" t="n"/>
      <c r="N95" s="47">
        <f>IFERROR(N94+M95,N94)</f>
        <v/>
      </c>
      <c r="O95" s="48">
        <f>IF(M95="","⏳ PENDENTE",IF(M95&gt;=G95,"✅ PAGO","⚠️ PARCIAL"))</f>
        <v/>
      </c>
    </row>
    <row r="96" ht="19" customHeight="1">
      <c r="A96" s="5" t="n"/>
      <c r="B96" s="36" t="n">
        <v>83</v>
      </c>
      <c r="C96" s="37">
        <f>IFERROR(TEXT(EDATE(DATE(VALUE(RIGHT(D5,4)),MATCH(LEFT(D5,3),{"Jan","Fev","Mar","Abr","Mai","Jun","Jul","Ago","Set","Out","Nov","Dez"},0),1),82),"mmm/yyyy")</f>
        <v/>
      </c>
      <c r="D96" s="38">
        <f>IFERROR(EDATE(DATE(VALUE(RIGHT(D5,4)),MATCH(LEFT(D5,3),{"Jan","Fev","Mar","Abr","Mai","Jun","Jul","Ago","Set","Out","Nov","Dez"},0),5),82),"—")</f>
        <v/>
      </c>
      <c r="E96" s="39">
        <f>$H$4</f>
        <v/>
      </c>
      <c r="F96" s="40">
        <f>IFERROR(F95-H95-J95,0)</f>
        <v/>
      </c>
      <c r="G96" s="41">
        <f>IF($H$4="PRICE",$L$4,IF($H$4="SAC",$L$5,0))</f>
        <v/>
      </c>
      <c r="H96" s="42">
        <f>IFERROR(IF($H$4="SAC",$D$4/$D$6,G96-I96-K96),0)</f>
        <v/>
      </c>
      <c r="I96" s="43">
        <f>IFERROR(F96*$D$7,0)</f>
        <v/>
      </c>
      <c r="J96" s="44" t="n"/>
      <c r="K96" s="45">
        <f>IFERROR($H$5,0)</f>
        <v/>
      </c>
      <c r="L96" s="46" t="n"/>
      <c r="M96" s="44" t="n"/>
      <c r="N96" s="47">
        <f>IFERROR(N95+M96,N95)</f>
        <v/>
      </c>
      <c r="O96" s="48">
        <f>IF(M96="","⏳ PENDENTE",IF(M96&gt;=G96,"✅ PAGO","⚠️ PARCIAL"))</f>
        <v/>
      </c>
    </row>
    <row r="97" ht="19" customHeight="1">
      <c r="A97" s="1" t="n"/>
      <c r="B97" s="49" t="n">
        <v>84</v>
      </c>
      <c r="C97" s="50">
        <f>IFERROR(TEXT(EDATE(DATE(VALUE(RIGHT(D5,4)),MATCH(LEFT(D5,3),{"Jan","Fev","Mar","Abr","Mai","Jun","Jul","Ago","Set","Out","Nov","Dez"},0),1),83),"mmm/yyyy")</f>
        <v/>
      </c>
      <c r="D97" s="51">
        <f>IFERROR(EDATE(DATE(VALUE(RIGHT(D5,4)),MATCH(LEFT(D5,3),{"Jan","Fev","Mar","Abr","Mai","Jun","Jul","Ago","Set","Out","Nov","Dez"},0),5),83),"—")</f>
        <v/>
      </c>
      <c r="E97" s="39">
        <f>$H$4</f>
        <v/>
      </c>
      <c r="F97" s="52">
        <f>IFERROR(F96-H96-J96,0)</f>
        <v/>
      </c>
      <c r="G97" s="53">
        <f>IF($H$4="PRICE",$L$4,IF($H$4="SAC",$L$5,0))</f>
        <v/>
      </c>
      <c r="H97" s="54">
        <f>IFERROR(IF($H$4="SAC",$D$4/$D$6,G97-I97-K97),0)</f>
        <v/>
      </c>
      <c r="I97" s="55">
        <f>IFERROR(F97*$D$7,0)</f>
        <v/>
      </c>
      <c r="J97" s="44" t="n"/>
      <c r="K97" s="56">
        <f>IFERROR($H$5,0)</f>
        <v/>
      </c>
      <c r="L97" s="46" t="n"/>
      <c r="M97" s="44" t="n"/>
      <c r="N97" s="47">
        <f>IFERROR(N96+M97,N96)</f>
        <v/>
      </c>
      <c r="O97" s="48">
        <f>IF(M97="","⏳ PENDENTE",IF(M97&gt;=G97,"✅ PAGO","⚠️ PARCIAL"))</f>
        <v/>
      </c>
    </row>
    <row r="98" ht="19" customHeight="1">
      <c r="A98" s="5" t="n"/>
      <c r="B98" s="36" t="n">
        <v>85</v>
      </c>
      <c r="C98" s="37">
        <f>IFERROR(TEXT(EDATE(DATE(VALUE(RIGHT(D5,4)),MATCH(LEFT(D5,3),{"Jan","Fev","Mar","Abr","Mai","Jun","Jul","Ago","Set","Out","Nov","Dez"},0),1),84),"mmm/yyyy")</f>
        <v/>
      </c>
      <c r="D98" s="38">
        <f>IFERROR(EDATE(DATE(VALUE(RIGHT(D5,4)),MATCH(LEFT(D5,3),{"Jan","Fev","Mar","Abr","Mai","Jun","Jul","Ago","Set","Out","Nov","Dez"},0),5),84),"—")</f>
        <v/>
      </c>
      <c r="E98" s="39">
        <f>$H$4</f>
        <v/>
      </c>
      <c r="F98" s="40">
        <f>IFERROR(F97-H97-J97,0)</f>
        <v/>
      </c>
      <c r="G98" s="41">
        <f>IF($H$4="PRICE",$L$4,IF($H$4="SAC",$L$5,0))</f>
        <v/>
      </c>
      <c r="H98" s="42">
        <f>IFERROR(IF($H$4="SAC",$D$4/$D$6,G98-I98-K98),0)</f>
        <v/>
      </c>
      <c r="I98" s="43">
        <f>IFERROR(F98*$D$7,0)</f>
        <v/>
      </c>
      <c r="J98" s="44" t="n"/>
      <c r="K98" s="45">
        <f>IFERROR($H$5,0)</f>
        <v/>
      </c>
      <c r="L98" s="46" t="n"/>
      <c r="M98" s="44" t="n"/>
      <c r="N98" s="47">
        <f>IFERROR(N97+M98,N97)</f>
        <v/>
      </c>
      <c r="O98" s="48">
        <f>IF(M98="","⏳ PENDENTE",IF(M98&gt;=G98,"✅ PAGO","⚠️ PARCIAL"))</f>
        <v/>
      </c>
    </row>
    <row r="99" ht="19" customHeight="1">
      <c r="A99" s="1" t="n"/>
      <c r="B99" s="49" t="n">
        <v>86</v>
      </c>
      <c r="C99" s="50">
        <f>IFERROR(TEXT(EDATE(DATE(VALUE(RIGHT(D5,4)),MATCH(LEFT(D5,3),{"Jan","Fev","Mar","Abr","Mai","Jun","Jul","Ago","Set","Out","Nov","Dez"},0),1),85),"mmm/yyyy")</f>
        <v/>
      </c>
      <c r="D99" s="51">
        <f>IFERROR(EDATE(DATE(VALUE(RIGHT(D5,4)),MATCH(LEFT(D5,3),{"Jan","Fev","Mar","Abr","Mai","Jun","Jul","Ago","Set","Out","Nov","Dez"},0),5),85),"—")</f>
        <v/>
      </c>
      <c r="E99" s="39">
        <f>$H$4</f>
        <v/>
      </c>
      <c r="F99" s="52">
        <f>IFERROR(F98-H98-J98,0)</f>
        <v/>
      </c>
      <c r="G99" s="53">
        <f>IF($H$4="PRICE",$L$4,IF($H$4="SAC",$L$5,0))</f>
        <v/>
      </c>
      <c r="H99" s="54">
        <f>IFERROR(IF($H$4="SAC",$D$4/$D$6,G99-I99-K99),0)</f>
        <v/>
      </c>
      <c r="I99" s="55">
        <f>IFERROR(F99*$D$7,0)</f>
        <v/>
      </c>
      <c r="J99" s="44" t="n"/>
      <c r="K99" s="56">
        <f>IFERROR($H$5,0)</f>
        <v/>
      </c>
      <c r="L99" s="46" t="n"/>
      <c r="M99" s="44" t="n"/>
      <c r="N99" s="47">
        <f>IFERROR(N98+M99,N98)</f>
        <v/>
      </c>
      <c r="O99" s="48">
        <f>IF(M99="","⏳ PENDENTE",IF(M99&gt;=G99,"✅ PAGO","⚠️ PARCIAL"))</f>
        <v/>
      </c>
    </row>
    <row r="100" ht="19" customHeight="1">
      <c r="A100" s="5" t="n"/>
      <c r="B100" s="36" t="n">
        <v>87</v>
      </c>
      <c r="C100" s="37">
        <f>IFERROR(TEXT(EDATE(DATE(VALUE(RIGHT(D5,4)),MATCH(LEFT(D5,3),{"Jan","Fev","Mar","Abr","Mai","Jun","Jul","Ago","Set","Out","Nov","Dez"},0),1),86),"mmm/yyyy")</f>
        <v/>
      </c>
      <c r="D100" s="38">
        <f>IFERROR(EDATE(DATE(VALUE(RIGHT(D5,4)),MATCH(LEFT(D5,3),{"Jan","Fev","Mar","Abr","Mai","Jun","Jul","Ago","Set","Out","Nov","Dez"},0),5),86),"—")</f>
        <v/>
      </c>
      <c r="E100" s="39">
        <f>$H$4</f>
        <v/>
      </c>
      <c r="F100" s="40">
        <f>IFERROR(F99-H99-J99,0)</f>
        <v/>
      </c>
      <c r="G100" s="41">
        <f>IF($H$4="PRICE",$L$4,IF($H$4="SAC",$L$5,0))</f>
        <v/>
      </c>
      <c r="H100" s="42">
        <f>IFERROR(IF($H$4="SAC",$D$4/$D$6,G100-I100-K100),0)</f>
        <v/>
      </c>
      <c r="I100" s="43">
        <f>IFERROR(F100*$D$7,0)</f>
        <v/>
      </c>
      <c r="J100" s="44" t="n"/>
      <c r="K100" s="45">
        <f>IFERROR($H$5,0)</f>
        <v/>
      </c>
      <c r="L100" s="46" t="n"/>
      <c r="M100" s="44" t="n"/>
      <c r="N100" s="47">
        <f>IFERROR(N99+M100,N99)</f>
        <v/>
      </c>
      <c r="O100" s="48">
        <f>IF(M100="","⏳ PENDENTE",IF(M100&gt;=G100,"✅ PAGO","⚠️ PARCIAL"))</f>
        <v/>
      </c>
    </row>
    <row r="101" ht="19" customHeight="1">
      <c r="A101" s="1" t="n"/>
      <c r="B101" s="49" t="n">
        <v>88</v>
      </c>
      <c r="C101" s="50">
        <f>IFERROR(TEXT(EDATE(DATE(VALUE(RIGHT(D5,4)),MATCH(LEFT(D5,3),{"Jan","Fev","Mar","Abr","Mai","Jun","Jul","Ago","Set","Out","Nov","Dez"},0),1),87),"mmm/yyyy")</f>
        <v/>
      </c>
      <c r="D101" s="51">
        <f>IFERROR(EDATE(DATE(VALUE(RIGHT(D5,4)),MATCH(LEFT(D5,3),{"Jan","Fev","Mar","Abr","Mai","Jun","Jul","Ago","Set","Out","Nov","Dez"},0),5),87),"—")</f>
        <v/>
      </c>
      <c r="E101" s="39">
        <f>$H$4</f>
        <v/>
      </c>
      <c r="F101" s="52">
        <f>IFERROR(F100-H100-J100,0)</f>
        <v/>
      </c>
      <c r="G101" s="53">
        <f>IF($H$4="PRICE",$L$4,IF($H$4="SAC",$L$5,0))</f>
        <v/>
      </c>
      <c r="H101" s="54">
        <f>IFERROR(IF($H$4="SAC",$D$4/$D$6,G101-I101-K101),0)</f>
        <v/>
      </c>
      <c r="I101" s="55">
        <f>IFERROR(F101*$D$7,0)</f>
        <v/>
      </c>
      <c r="J101" s="44" t="n"/>
      <c r="K101" s="56">
        <f>IFERROR($H$5,0)</f>
        <v/>
      </c>
      <c r="L101" s="46" t="n"/>
      <c r="M101" s="44" t="n"/>
      <c r="N101" s="47">
        <f>IFERROR(N100+M101,N100)</f>
        <v/>
      </c>
      <c r="O101" s="48">
        <f>IF(M101="","⏳ PENDENTE",IF(M101&gt;=G101,"✅ PAGO","⚠️ PARCIAL"))</f>
        <v/>
      </c>
    </row>
    <row r="102" ht="19" customHeight="1">
      <c r="A102" s="5" t="n"/>
      <c r="B102" s="36" t="n">
        <v>89</v>
      </c>
      <c r="C102" s="37">
        <f>IFERROR(TEXT(EDATE(DATE(VALUE(RIGHT(D5,4)),MATCH(LEFT(D5,3),{"Jan","Fev","Mar","Abr","Mai","Jun","Jul","Ago","Set","Out","Nov","Dez"},0),1),88),"mmm/yyyy")</f>
        <v/>
      </c>
      <c r="D102" s="38">
        <f>IFERROR(EDATE(DATE(VALUE(RIGHT(D5,4)),MATCH(LEFT(D5,3),{"Jan","Fev","Mar","Abr","Mai","Jun","Jul","Ago","Set","Out","Nov","Dez"},0),5),88),"—")</f>
        <v/>
      </c>
      <c r="E102" s="39">
        <f>$H$4</f>
        <v/>
      </c>
      <c r="F102" s="40">
        <f>IFERROR(F101-H101-J101,0)</f>
        <v/>
      </c>
      <c r="G102" s="41">
        <f>IF($H$4="PRICE",$L$4,IF($H$4="SAC",$L$5,0))</f>
        <v/>
      </c>
      <c r="H102" s="42">
        <f>IFERROR(IF($H$4="SAC",$D$4/$D$6,G102-I102-K102),0)</f>
        <v/>
      </c>
      <c r="I102" s="43">
        <f>IFERROR(F102*$D$7,0)</f>
        <v/>
      </c>
      <c r="J102" s="44" t="n"/>
      <c r="K102" s="45">
        <f>IFERROR($H$5,0)</f>
        <v/>
      </c>
      <c r="L102" s="46" t="n"/>
      <c r="M102" s="44" t="n"/>
      <c r="N102" s="47">
        <f>IFERROR(N101+M102,N101)</f>
        <v/>
      </c>
      <c r="O102" s="48">
        <f>IF(M102="","⏳ PENDENTE",IF(M102&gt;=G102,"✅ PAGO","⚠️ PARCIAL"))</f>
        <v/>
      </c>
    </row>
    <row r="103" ht="19" customHeight="1">
      <c r="A103" s="1" t="n"/>
      <c r="B103" s="49" t="n">
        <v>90</v>
      </c>
      <c r="C103" s="50">
        <f>IFERROR(TEXT(EDATE(DATE(VALUE(RIGHT(D5,4)),MATCH(LEFT(D5,3),{"Jan","Fev","Mar","Abr","Mai","Jun","Jul","Ago","Set","Out","Nov","Dez"},0),1),89),"mmm/yyyy")</f>
        <v/>
      </c>
      <c r="D103" s="51">
        <f>IFERROR(EDATE(DATE(VALUE(RIGHT(D5,4)),MATCH(LEFT(D5,3),{"Jan","Fev","Mar","Abr","Mai","Jun","Jul","Ago","Set","Out","Nov","Dez"},0),5),89),"—")</f>
        <v/>
      </c>
      <c r="E103" s="39">
        <f>$H$4</f>
        <v/>
      </c>
      <c r="F103" s="52">
        <f>IFERROR(F102-H102-J102,0)</f>
        <v/>
      </c>
      <c r="G103" s="53">
        <f>IF($H$4="PRICE",$L$4,IF($H$4="SAC",$L$5,0))</f>
        <v/>
      </c>
      <c r="H103" s="54">
        <f>IFERROR(IF($H$4="SAC",$D$4/$D$6,G103-I103-K103),0)</f>
        <v/>
      </c>
      <c r="I103" s="55">
        <f>IFERROR(F103*$D$7,0)</f>
        <v/>
      </c>
      <c r="J103" s="44" t="n"/>
      <c r="K103" s="56">
        <f>IFERROR($H$5,0)</f>
        <v/>
      </c>
      <c r="L103" s="46" t="n"/>
      <c r="M103" s="44" t="n"/>
      <c r="N103" s="47">
        <f>IFERROR(N102+M103,N102)</f>
        <v/>
      </c>
      <c r="O103" s="48">
        <f>IF(M103="","⏳ PENDENTE",IF(M103&gt;=G103,"✅ PAGO","⚠️ PARCIAL"))</f>
        <v/>
      </c>
    </row>
    <row r="104" ht="19" customHeight="1">
      <c r="A104" s="5" t="n"/>
      <c r="B104" s="36" t="n">
        <v>91</v>
      </c>
      <c r="C104" s="37">
        <f>IFERROR(TEXT(EDATE(DATE(VALUE(RIGHT(D5,4)),MATCH(LEFT(D5,3),{"Jan","Fev","Mar","Abr","Mai","Jun","Jul","Ago","Set","Out","Nov","Dez"},0),1),90),"mmm/yyyy")</f>
        <v/>
      </c>
      <c r="D104" s="38">
        <f>IFERROR(EDATE(DATE(VALUE(RIGHT(D5,4)),MATCH(LEFT(D5,3),{"Jan","Fev","Mar","Abr","Mai","Jun","Jul","Ago","Set","Out","Nov","Dez"},0),5),90),"—")</f>
        <v/>
      </c>
      <c r="E104" s="39">
        <f>$H$4</f>
        <v/>
      </c>
      <c r="F104" s="40">
        <f>IFERROR(F103-H103-J103,0)</f>
        <v/>
      </c>
      <c r="G104" s="41">
        <f>IF($H$4="PRICE",$L$4,IF($H$4="SAC",$L$5,0))</f>
        <v/>
      </c>
      <c r="H104" s="42">
        <f>IFERROR(IF($H$4="SAC",$D$4/$D$6,G104-I104-K104),0)</f>
        <v/>
      </c>
      <c r="I104" s="43">
        <f>IFERROR(F104*$D$7,0)</f>
        <v/>
      </c>
      <c r="J104" s="44" t="n"/>
      <c r="K104" s="45">
        <f>IFERROR($H$5,0)</f>
        <v/>
      </c>
      <c r="L104" s="46" t="n"/>
      <c r="M104" s="44" t="n"/>
      <c r="N104" s="47">
        <f>IFERROR(N103+M104,N103)</f>
        <v/>
      </c>
      <c r="O104" s="48">
        <f>IF(M104="","⏳ PENDENTE",IF(M104&gt;=G104,"✅ PAGO","⚠️ PARCIAL"))</f>
        <v/>
      </c>
    </row>
    <row r="105" ht="19" customHeight="1">
      <c r="A105" s="1" t="n"/>
      <c r="B105" s="49" t="n">
        <v>92</v>
      </c>
      <c r="C105" s="50">
        <f>IFERROR(TEXT(EDATE(DATE(VALUE(RIGHT(D5,4)),MATCH(LEFT(D5,3),{"Jan","Fev","Mar","Abr","Mai","Jun","Jul","Ago","Set","Out","Nov","Dez"},0),1),91),"mmm/yyyy")</f>
        <v/>
      </c>
      <c r="D105" s="51">
        <f>IFERROR(EDATE(DATE(VALUE(RIGHT(D5,4)),MATCH(LEFT(D5,3),{"Jan","Fev","Mar","Abr","Mai","Jun","Jul","Ago","Set","Out","Nov","Dez"},0),5),91),"—")</f>
        <v/>
      </c>
      <c r="E105" s="39">
        <f>$H$4</f>
        <v/>
      </c>
      <c r="F105" s="52">
        <f>IFERROR(F104-H104-J104,0)</f>
        <v/>
      </c>
      <c r="G105" s="53">
        <f>IF($H$4="PRICE",$L$4,IF($H$4="SAC",$L$5,0))</f>
        <v/>
      </c>
      <c r="H105" s="54">
        <f>IFERROR(IF($H$4="SAC",$D$4/$D$6,G105-I105-K105),0)</f>
        <v/>
      </c>
      <c r="I105" s="55">
        <f>IFERROR(F105*$D$7,0)</f>
        <v/>
      </c>
      <c r="J105" s="44" t="n"/>
      <c r="K105" s="56">
        <f>IFERROR($H$5,0)</f>
        <v/>
      </c>
      <c r="L105" s="46" t="n"/>
      <c r="M105" s="44" t="n"/>
      <c r="N105" s="47">
        <f>IFERROR(N104+M105,N104)</f>
        <v/>
      </c>
      <c r="O105" s="48">
        <f>IF(M105="","⏳ PENDENTE",IF(M105&gt;=G105,"✅ PAGO","⚠️ PARCIAL"))</f>
        <v/>
      </c>
    </row>
    <row r="106" ht="19" customHeight="1">
      <c r="A106" s="5" t="n"/>
      <c r="B106" s="36" t="n">
        <v>93</v>
      </c>
      <c r="C106" s="37">
        <f>IFERROR(TEXT(EDATE(DATE(VALUE(RIGHT(D5,4)),MATCH(LEFT(D5,3),{"Jan","Fev","Mar","Abr","Mai","Jun","Jul","Ago","Set","Out","Nov","Dez"},0),1),92),"mmm/yyyy")</f>
        <v/>
      </c>
      <c r="D106" s="38">
        <f>IFERROR(EDATE(DATE(VALUE(RIGHT(D5,4)),MATCH(LEFT(D5,3),{"Jan","Fev","Mar","Abr","Mai","Jun","Jul","Ago","Set","Out","Nov","Dez"},0),5),92),"—")</f>
        <v/>
      </c>
      <c r="E106" s="39">
        <f>$H$4</f>
        <v/>
      </c>
      <c r="F106" s="40">
        <f>IFERROR(F105-H105-J105,0)</f>
        <v/>
      </c>
      <c r="G106" s="41">
        <f>IF($H$4="PRICE",$L$4,IF($H$4="SAC",$L$5,0))</f>
        <v/>
      </c>
      <c r="H106" s="42">
        <f>IFERROR(IF($H$4="SAC",$D$4/$D$6,G106-I106-K106),0)</f>
        <v/>
      </c>
      <c r="I106" s="43">
        <f>IFERROR(F106*$D$7,0)</f>
        <v/>
      </c>
      <c r="J106" s="44" t="n"/>
      <c r="K106" s="45">
        <f>IFERROR($H$5,0)</f>
        <v/>
      </c>
      <c r="L106" s="46" t="n"/>
      <c r="M106" s="44" t="n"/>
      <c r="N106" s="47">
        <f>IFERROR(N105+M106,N105)</f>
        <v/>
      </c>
      <c r="O106" s="48">
        <f>IF(M106="","⏳ PENDENTE",IF(M106&gt;=G106,"✅ PAGO","⚠️ PARCIAL"))</f>
        <v/>
      </c>
    </row>
    <row r="107" ht="19" customHeight="1">
      <c r="A107" s="1" t="n"/>
      <c r="B107" s="49" t="n">
        <v>94</v>
      </c>
      <c r="C107" s="50">
        <f>IFERROR(TEXT(EDATE(DATE(VALUE(RIGHT(D5,4)),MATCH(LEFT(D5,3),{"Jan","Fev","Mar","Abr","Mai","Jun","Jul","Ago","Set","Out","Nov","Dez"},0),1),93),"mmm/yyyy")</f>
        <v/>
      </c>
      <c r="D107" s="51">
        <f>IFERROR(EDATE(DATE(VALUE(RIGHT(D5,4)),MATCH(LEFT(D5,3),{"Jan","Fev","Mar","Abr","Mai","Jun","Jul","Ago","Set","Out","Nov","Dez"},0),5),93),"—")</f>
        <v/>
      </c>
      <c r="E107" s="39">
        <f>$H$4</f>
        <v/>
      </c>
      <c r="F107" s="52">
        <f>IFERROR(F106-H106-J106,0)</f>
        <v/>
      </c>
      <c r="G107" s="53">
        <f>IF($H$4="PRICE",$L$4,IF($H$4="SAC",$L$5,0))</f>
        <v/>
      </c>
      <c r="H107" s="54">
        <f>IFERROR(IF($H$4="SAC",$D$4/$D$6,G107-I107-K107),0)</f>
        <v/>
      </c>
      <c r="I107" s="55">
        <f>IFERROR(F107*$D$7,0)</f>
        <v/>
      </c>
      <c r="J107" s="44" t="n"/>
      <c r="K107" s="56">
        <f>IFERROR($H$5,0)</f>
        <v/>
      </c>
      <c r="L107" s="46" t="n"/>
      <c r="M107" s="44" t="n"/>
      <c r="N107" s="47">
        <f>IFERROR(N106+M107,N106)</f>
        <v/>
      </c>
      <c r="O107" s="48">
        <f>IF(M107="","⏳ PENDENTE",IF(M107&gt;=G107,"✅ PAGO","⚠️ PARCIAL"))</f>
        <v/>
      </c>
    </row>
    <row r="108" ht="19" customHeight="1">
      <c r="A108" s="5" t="n"/>
      <c r="B108" s="36" t="n">
        <v>95</v>
      </c>
      <c r="C108" s="37">
        <f>IFERROR(TEXT(EDATE(DATE(VALUE(RIGHT(D5,4)),MATCH(LEFT(D5,3),{"Jan","Fev","Mar","Abr","Mai","Jun","Jul","Ago","Set","Out","Nov","Dez"},0),1),94),"mmm/yyyy")</f>
        <v/>
      </c>
      <c r="D108" s="38">
        <f>IFERROR(EDATE(DATE(VALUE(RIGHT(D5,4)),MATCH(LEFT(D5,3),{"Jan","Fev","Mar","Abr","Mai","Jun","Jul","Ago","Set","Out","Nov","Dez"},0),5),94),"—")</f>
        <v/>
      </c>
      <c r="E108" s="39">
        <f>$H$4</f>
        <v/>
      </c>
      <c r="F108" s="40">
        <f>IFERROR(F107-H107-J107,0)</f>
        <v/>
      </c>
      <c r="G108" s="41">
        <f>IF($H$4="PRICE",$L$4,IF($H$4="SAC",$L$5,0))</f>
        <v/>
      </c>
      <c r="H108" s="42">
        <f>IFERROR(IF($H$4="SAC",$D$4/$D$6,G108-I108-K108),0)</f>
        <v/>
      </c>
      <c r="I108" s="43">
        <f>IFERROR(F108*$D$7,0)</f>
        <v/>
      </c>
      <c r="J108" s="44" t="n"/>
      <c r="K108" s="45">
        <f>IFERROR($H$5,0)</f>
        <v/>
      </c>
      <c r="L108" s="46" t="n"/>
      <c r="M108" s="44" t="n"/>
      <c r="N108" s="47">
        <f>IFERROR(N107+M108,N107)</f>
        <v/>
      </c>
      <c r="O108" s="48">
        <f>IF(M108="","⏳ PENDENTE",IF(M108&gt;=G108,"✅ PAGO","⚠️ PARCIAL"))</f>
        <v/>
      </c>
    </row>
    <row r="109" ht="19" customHeight="1">
      <c r="A109" s="1" t="n"/>
      <c r="B109" s="49" t="n">
        <v>96</v>
      </c>
      <c r="C109" s="50">
        <f>IFERROR(TEXT(EDATE(DATE(VALUE(RIGHT(D5,4)),MATCH(LEFT(D5,3),{"Jan","Fev","Mar","Abr","Mai","Jun","Jul","Ago","Set","Out","Nov","Dez"},0),1),95),"mmm/yyyy")</f>
        <v/>
      </c>
      <c r="D109" s="51">
        <f>IFERROR(EDATE(DATE(VALUE(RIGHT(D5,4)),MATCH(LEFT(D5,3),{"Jan","Fev","Mar","Abr","Mai","Jun","Jul","Ago","Set","Out","Nov","Dez"},0),5),95),"—")</f>
        <v/>
      </c>
      <c r="E109" s="39">
        <f>$H$4</f>
        <v/>
      </c>
      <c r="F109" s="52">
        <f>IFERROR(F108-H108-J108,0)</f>
        <v/>
      </c>
      <c r="G109" s="53">
        <f>IF($H$4="PRICE",$L$4,IF($H$4="SAC",$L$5,0))</f>
        <v/>
      </c>
      <c r="H109" s="54">
        <f>IFERROR(IF($H$4="SAC",$D$4/$D$6,G109-I109-K109),0)</f>
        <v/>
      </c>
      <c r="I109" s="55">
        <f>IFERROR(F109*$D$7,0)</f>
        <v/>
      </c>
      <c r="J109" s="44" t="n"/>
      <c r="K109" s="56">
        <f>IFERROR($H$5,0)</f>
        <v/>
      </c>
      <c r="L109" s="46" t="n"/>
      <c r="M109" s="44" t="n"/>
      <c r="N109" s="47">
        <f>IFERROR(N108+M109,N108)</f>
        <v/>
      </c>
      <c r="O109" s="48">
        <f>IF(M109="","⏳ PENDENTE",IF(M109&gt;=G109,"✅ PAGO","⚠️ PARCIAL"))</f>
        <v/>
      </c>
    </row>
    <row r="110" ht="19" customHeight="1">
      <c r="A110" s="5" t="n"/>
      <c r="B110" s="36" t="n">
        <v>97</v>
      </c>
      <c r="C110" s="37">
        <f>IFERROR(TEXT(EDATE(DATE(VALUE(RIGHT(D5,4)),MATCH(LEFT(D5,3),{"Jan","Fev","Mar","Abr","Mai","Jun","Jul","Ago","Set","Out","Nov","Dez"},0),1),96),"mmm/yyyy")</f>
        <v/>
      </c>
      <c r="D110" s="38">
        <f>IFERROR(EDATE(DATE(VALUE(RIGHT(D5,4)),MATCH(LEFT(D5,3),{"Jan","Fev","Mar","Abr","Mai","Jun","Jul","Ago","Set","Out","Nov","Dez"},0),5),96),"—")</f>
        <v/>
      </c>
      <c r="E110" s="39">
        <f>$H$4</f>
        <v/>
      </c>
      <c r="F110" s="40">
        <f>IFERROR(F109-H109-J109,0)</f>
        <v/>
      </c>
      <c r="G110" s="41">
        <f>IF($H$4="PRICE",$L$4,IF($H$4="SAC",$L$5,0))</f>
        <v/>
      </c>
      <c r="H110" s="42">
        <f>IFERROR(IF($H$4="SAC",$D$4/$D$6,G110-I110-K110),0)</f>
        <v/>
      </c>
      <c r="I110" s="43">
        <f>IFERROR(F110*$D$7,0)</f>
        <v/>
      </c>
      <c r="J110" s="44" t="n"/>
      <c r="K110" s="45">
        <f>IFERROR($H$5,0)</f>
        <v/>
      </c>
      <c r="L110" s="46" t="n"/>
      <c r="M110" s="44" t="n"/>
      <c r="N110" s="47">
        <f>IFERROR(N109+M110,N109)</f>
        <v/>
      </c>
      <c r="O110" s="48">
        <f>IF(M110="","⏳ PENDENTE",IF(M110&gt;=G110,"✅ PAGO","⚠️ PARCIAL"))</f>
        <v/>
      </c>
    </row>
    <row r="111" ht="19" customHeight="1">
      <c r="A111" s="1" t="n"/>
      <c r="B111" s="49" t="n">
        <v>98</v>
      </c>
      <c r="C111" s="50">
        <f>IFERROR(TEXT(EDATE(DATE(VALUE(RIGHT(D5,4)),MATCH(LEFT(D5,3),{"Jan","Fev","Mar","Abr","Mai","Jun","Jul","Ago","Set","Out","Nov","Dez"},0),1),97),"mmm/yyyy")</f>
        <v/>
      </c>
      <c r="D111" s="51">
        <f>IFERROR(EDATE(DATE(VALUE(RIGHT(D5,4)),MATCH(LEFT(D5,3),{"Jan","Fev","Mar","Abr","Mai","Jun","Jul","Ago","Set","Out","Nov","Dez"},0),5),97),"—")</f>
        <v/>
      </c>
      <c r="E111" s="39">
        <f>$H$4</f>
        <v/>
      </c>
      <c r="F111" s="52">
        <f>IFERROR(F110-H110-J110,0)</f>
        <v/>
      </c>
      <c r="G111" s="53">
        <f>IF($H$4="PRICE",$L$4,IF($H$4="SAC",$L$5,0))</f>
        <v/>
      </c>
      <c r="H111" s="54">
        <f>IFERROR(IF($H$4="SAC",$D$4/$D$6,G111-I111-K111),0)</f>
        <v/>
      </c>
      <c r="I111" s="55">
        <f>IFERROR(F111*$D$7,0)</f>
        <v/>
      </c>
      <c r="J111" s="44" t="n"/>
      <c r="K111" s="56">
        <f>IFERROR($H$5,0)</f>
        <v/>
      </c>
      <c r="L111" s="46" t="n"/>
      <c r="M111" s="44" t="n"/>
      <c r="N111" s="47">
        <f>IFERROR(N110+M111,N110)</f>
        <v/>
      </c>
      <c r="O111" s="48">
        <f>IF(M111="","⏳ PENDENTE",IF(M111&gt;=G111,"✅ PAGO","⚠️ PARCIAL"))</f>
        <v/>
      </c>
    </row>
    <row r="112" ht="19" customHeight="1">
      <c r="A112" s="5" t="n"/>
      <c r="B112" s="36" t="n">
        <v>99</v>
      </c>
      <c r="C112" s="37">
        <f>IFERROR(TEXT(EDATE(DATE(VALUE(RIGHT(D5,4)),MATCH(LEFT(D5,3),{"Jan","Fev","Mar","Abr","Mai","Jun","Jul","Ago","Set","Out","Nov","Dez"},0),1),98),"mmm/yyyy")</f>
        <v/>
      </c>
      <c r="D112" s="38">
        <f>IFERROR(EDATE(DATE(VALUE(RIGHT(D5,4)),MATCH(LEFT(D5,3),{"Jan","Fev","Mar","Abr","Mai","Jun","Jul","Ago","Set","Out","Nov","Dez"},0),5),98),"—")</f>
        <v/>
      </c>
      <c r="E112" s="39">
        <f>$H$4</f>
        <v/>
      </c>
      <c r="F112" s="40">
        <f>IFERROR(F111-H111-J111,0)</f>
        <v/>
      </c>
      <c r="G112" s="41">
        <f>IF($H$4="PRICE",$L$4,IF($H$4="SAC",$L$5,0))</f>
        <v/>
      </c>
      <c r="H112" s="42">
        <f>IFERROR(IF($H$4="SAC",$D$4/$D$6,G112-I112-K112),0)</f>
        <v/>
      </c>
      <c r="I112" s="43">
        <f>IFERROR(F112*$D$7,0)</f>
        <v/>
      </c>
      <c r="J112" s="44" t="n"/>
      <c r="K112" s="45">
        <f>IFERROR($H$5,0)</f>
        <v/>
      </c>
      <c r="L112" s="46" t="n"/>
      <c r="M112" s="44" t="n"/>
      <c r="N112" s="47">
        <f>IFERROR(N111+M112,N111)</f>
        <v/>
      </c>
      <c r="O112" s="48">
        <f>IF(M112="","⏳ PENDENTE",IF(M112&gt;=G112,"✅ PAGO","⚠️ PARCIAL"))</f>
        <v/>
      </c>
    </row>
    <row r="113" ht="19" customHeight="1">
      <c r="A113" s="1" t="n"/>
      <c r="B113" s="49" t="n">
        <v>100</v>
      </c>
      <c r="C113" s="50">
        <f>IFERROR(TEXT(EDATE(DATE(VALUE(RIGHT(D5,4)),MATCH(LEFT(D5,3),{"Jan","Fev","Mar","Abr","Mai","Jun","Jul","Ago","Set","Out","Nov","Dez"},0),1),99),"mmm/yyyy")</f>
        <v/>
      </c>
      <c r="D113" s="51">
        <f>IFERROR(EDATE(DATE(VALUE(RIGHT(D5,4)),MATCH(LEFT(D5,3),{"Jan","Fev","Mar","Abr","Mai","Jun","Jul","Ago","Set","Out","Nov","Dez"},0),5),99),"—")</f>
        <v/>
      </c>
      <c r="E113" s="39">
        <f>$H$4</f>
        <v/>
      </c>
      <c r="F113" s="52">
        <f>IFERROR(F112-H112-J112,0)</f>
        <v/>
      </c>
      <c r="G113" s="53">
        <f>IF($H$4="PRICE",$L$4,IF($H$4="SAC",$L$5,0))</f>
        <v/>
      </c>
      <c r="H113" s="54">
        <f>IFERROR(IF($H$4="SAC",$D$4/$D$6,G113-I113-K113),0)</f>
        <v/>
      </c>
      <c r="I113" s="55">
        <f>IFERROR(F113*$D$7,0)</f>
        <v/>
      </c>
      <c r="J113" s="44" t="n"/>
      <c r="K113" s="56">
        <f>IFERROR($H$5,0)</f>
        <v/>
      </c>
      <c r="L113" s="46" t="n"/>
      <c r="M113" s="44" t="n"/>
      <c r="N113" s="47">
        <f>IFERROR(N112+M113,N112)</f>
        <v/>
      </c>
      <c r="O113" s="48">
        <f>IF(M113="","⏳ PENDENTE",IF(M113&gt;=G113,"✅ PAGO","⚠️ PARCIAL"))</f>
        <v/>
      </c>
    </row>
    <row r="114" ht="19" customHeight="1">
      <c r="A114" s="5" t="n"/>
      <c r="B114" s="36" t="n">
        <v>101</v>
      </c>
      <c r="C114" s="37">
        <f>IFERROR(TEXT(EDATE(DATE(VALUE(RIGHT(D5,4)),MATCH(LEFT(D5,3),{"Jan","Fev","Mar","Abr","Mai","Jun","Jul","Ago","Set","Out","Nov","Dez"},0),1),100),"mmm/yyyy")</f>
        <v/>
      </c>
      <c r="D114" s="38">
        <f>IFERROR(EDATE(DATE(VALUE(RIGHT(D5,4)),MATCH(LEFT(D5,3),{"Jan","Fev","Mar","Abr","Mai","Jun","Jul","Ago","Set","Out","Nov","Dez"},0),5),100),"—")</f>
        <v/>
      </c>
      <c r="E114" s="39">
        <f>$H$4</f>
        <v/>
      </c>
      <c r="F114" s="40">
        <f>IFERROR(F113-H113-J113,0)</f>
        <v/>
      </c>
      <c r="G114" s="41">
        <f>IF($H$4="PRICE",$L$4,IF($H$4="SAC",$L$5,0))</f>
        <v/>
      </c>
      <c r="H114" s="42">
        <f>IFERROR(IF($H$4="SAC",$D$4/$D$6,G114-I114-K114),0)</f>
        <v/>
      </c>
      <c r="I114" s="43">
        <f>IFERROR(F114*$D$7,0)</f>
        <v/>
      </c>
      <c r="J114" s="44" t="n"/>
      <c r="K114" s="45">
        <f>IFERROR($H$5,0)</f>
        <v/>
      </c>
      <c r="L114" s="46" t="n"/>
      <c r="M114" s="44" t="n"/>
      <c r="N114" s="47">
        <f>IFERROR(N113+M114,N113)</f>
        <v/>
      </c>
      <c r="O114" s="48">
        <f>IF(M114="","⏳ PENDENTE",IF(M114&gt;=G114,"✅ PAGO","⚠️ PARCIAL"))</f>
        <v/>
      </c>
    </row>
    <row r="115" ht="19" customHeight="1">
      <c r="A115" s="1" t="n"/>
      <c r="B115" s="49" t="n">
        <v>102</v>
      </c>
      <c r="C115" s="50">
        <f>IFERROR(TEXT(EDATE(DATE(VALUE(RIGHT(D5,4)),MATCH(LEFT(D5,3),{"Jan","Fev","Mar","Abr","Mai","Jun","Jul","Ago","Set","Out","Nov","Dez"},0),1),101),"mmm/yyyy")</f>
        <v/>
      </c>
      <c r="D115" s="51">
        <f>IFERROR(EDATE(DATE(VALUE(RIGHT(D5,4)),MATCH(LEFT(D5,3),{"Jan","Fev","Mar","Abr","Mai","Jun","Jul","Ago","Set","Out","Nov","Dez"},0),5),101),"—")</f>
        <v/>
      </c>
      <c r="E115" s="39">
        <f>$H$4</f>
        <v/>
      </c>
      <c r="F115" s="52">
        <f>IFERROR(F114-H114-J114,0)</f>
        <v/>
      </c>
      <c r="G115" s="53">
        <f>IF($H$4="PRICE",$L$4,IF($H$4="SAC",$L$5,0))</f>
        <v/>
      </c>
      <c r="H115" s="54">
        <f>IFERROR(IF($H$4="SAC",$D$4/$D$6,G115-I115-K115),0)</f>
        <v/>
      </c>
      <c r="I115" s="55">
        <f>IFERROR(F115*$D$7,0)</f>
        <v/>
      </c>
      <c r="J115" s="44" t="n"/>
      <c r="K115" s="56">
        <f>IFERROR($H$5,0)</f>
        <v/>
      </c>
      <c r="L115" s="46" t="n"/>
      <c r="M115" s="44" t="n"/>
      <c r="N115" s="47">
        <f>IFERROR(N114+M115,N114)</f>
        <v/>
      </c>
      <c r="O115" s="48">
        <f>IF(M115="","⏳ PENDENTE",IF(M115&gt;=G115,"✅ PAGO","⚠️ PARCIAL"))</f>
        <v/>
      </c>
    </row>
    <row r="116" ht="19" customHeight="1">
      <c r="A116" s="5" t="n"/>
      <c r="B116" s="36" t="n">
        <v>103</v>
      </c>
      <c r="C116" s="37">
        <f>IFERROR(TEXT(EDATE(DATE(VALUE(RIGHT(D5,4)),MATCH(LEFT(D5,3),{"Jan","Fev","Mar","Abr","Mai","Jun","Jul","Ago","Set","Out","Nov","Dez"},0),1),102),"mmm/yyyy")</f>
        <v/>
      </c>
      <c r="D116" s="38">
        <f>IFERROR(EDATE(DATE(VALUE(RIGHT(D5,4)),MATCH(LEFT(D5,3),{"Jan","Fev","Mar","Abr","Mai","Jun","Jul","Ago","Set","Out","Nov","Dez"},0),5),102),"—")</f>
        <v/>
      </c>
      <c r="E116" s="39">
        <f>$H$4</f>
        <v/>
      </c>
      <c r="F116" s="40">
        <f>IFERROR(F115-H115-J115,0)</f>
        <v/>
      </c>
      <c r="G116" s="41">
        <f>IF($H$4="PRICE",$L$4,IF($H$4="SAC",$L$5,0))</f>
        <v/>
      </c>
      <c r="H116" s="42">
        <f>IFERROR(IF($H$4="SAC",$D$4/$D$6,G116-I116-K116),0)</f>
        <v/>
      </c>
      <c r="I116" s="43">
        <f>IFERROR(F116*$D$7,0)</f>
        <v/>
      </c>
      <c r="J116" s="44" t="n"/>
      <c r="K116" s="45">
        <f>IFERROR($H$5,0)</f>
        <v/>
      </c>
      <c r="L116" s="46" t="n"/>
      <c r="M116" s="44" t="n"/>
      <c r="N116" s="47">
        <f>IFERROR(N115+M116,N115)</f>
        <v/>
      </c>
      <c r="O116" s="48">
        <f>IF(M116="","⏳ PENDENTE",IF(M116&gt;=G116,"✅ PAGO","⚠️ PARCIAL"))</f>
        <v/>
      </c>
    </row>
    <row r="117" ht="19" customHeight="1">
      <c r="A117" s="1" t="n"/>
      <c r="B117" s="49" t="n">
        <v>104</v>
      </c>
      <c r="C117" s="50">
        <f>IFERROR(TEXT(EDATE(DATE(VALUE(RIGHT(D5,4)),MATCH(LEFT(D5,3),{"Jan","Fev","Mar","Abr","Mai","Jun","Jul","Ago","Set","Out","Nov","Dez"},0),1),103),"mmm/yyyy")</f>
        <v/>
      </c>
      <c r="D117" s="51">
        <f>IFERROR(EDATE(DATE(VALUE(RIGHT(D5,4)),MATCH(LEFT(D5,3),{"Jan","Fev","Mar","Abr","Mai","Jun","Jul","Ago","Set","Out","Nov","Dez"},0),5),103),"—")</f>
        <v/>
      </c>
      <c r="E117" s="39">
        <f>$H$4</f>
        <v/>
      </c>
      <c r="F117" s="52">
        <f>IFERROR(F116-H116-J116,0)</f>
        <v/>
      </c>
      <c r="G117" s="53">
        <f>IF($H$4="PRICE",$L$4,IF($H$4="SAC",$L$5,0))</f>
        <v/>
      </c>
      <c r="H117" s="54">
        <f>IFERROR(IF($H$4="SAC",$D$4/$D$6,G117-I117-K117),0)</f>
        <v/>
      </c>
      <c r="I117" s="55">
        <f>IFERROR(F117*$D$7,0)</f>
        <v/>
      </c>
      <c r="J117" s="44" t="n"/>
      <c r="K117" s="56">
        <f>IFERROR($H$5,0)</f>
        <v/>
      </c>
      <c r="L117" s="46" t="n"/>
      <c r="M117" s="44" t="n"/>
      <c r="N117" s="47">
        <f>IFERROR(N116+M117,N116)</f>
        <v/>
      </c>
      <c r="O117" s="48">
        <f>IF(M117="","⏳ PENDENTE",IF(M117&gt;=G117,"✅ PAGO","⚠️ PARCIAL"))</f>
        <v/>
      </c>
    </row>
    <row r="118" ht="19" customHeight="1">
      <c r="A118" s="5" t="n"/>
      <c r="B118" s="36" t="n">
        <v>105</v>
      </c>
      <c r="C118" s="37">
        <f>IFERROR(TEXT(EDATE(DATE(VALUE(RIGHT(D5,4)),MATCH(LEFT(D5,3),{"Jan","Fev","Mar","Abr","Mai","Jun","Jul","Ago","Set","Out","Nov","Dez"},0),1),104),"mmm/yyyy")</f>
        <v/>
      </c>
      <c r="D118" s="38">
        <f>IFERROR(EDATE(DATE(VALUE(RIGHT(D5,4)),MATCH(LEFT(D5,3),{"Jan","Fev","Mar","Abr","Mai","Jun","Jul","Ago","Set","Out","Nov","Dez"},0),5),104),"—")</f>
        <v/>
      </c>
      <c r="E118" s="39">
        <f>$H$4</f>
        <v/>
      </c>
      <c r="F118" s="40">
        <f>IFERROR(F117-H117-J117,0)</f>
        <v/>
      </c>
      <c r="G118" s="41">
        <f>IF($H$4="PRICE",$L$4,IF($H$4="SAC",$L$5,0))</f>
        <v/>
      </c>
      <c r="H118" s="42">
        <f>IFERROR(IF($H$4="SAC",$D$4/$D$6,G118-I118-K118),0)</f>
        <v/>
      </c>
      <c r="I118" s="43">
        <f>IFERROR(F118*$D$7,0)</f>
        <v/>
      </c>
      <c r="J118" s="44" t="n"/>
      <c r="K118" s="45">
        <f>IFERROR($H$5,0)</f>
        <v/>
      </c>
      <c r="L118" s="46" t="n"/>
      <c r="M118" s="44" t="n"/>
      <c r="N118" s="47">
        <f>IFERROR(N117+M118,N117)</f>
        <v/>
      </c>
      <c r="O118" s="48">
        <f>IF(M118="","⏳ PENDENTE",IF(M118&gt;=G118,"✅ PAGO","⚠️ PARCIAL"))</f>
        <v/>
      </c>
    </row>
    <row r="119" ht="19" customHeight="1">
      <c r="A119" s="1" t="n"/>
      <c r="B119" s="49" t="n">
        <v>106</v>
      </c>
      <c r="C119" s="50">
        <f>IFERROR(TEXT(EDATE(DATE(VALUE(RIGHT(D5,4)),MATCH(LEFT(D5,3),{"Jan","Fev","Mar","Abr","Mai","Jun","Jul","Ago","Set","Out","Nov","Dez"},0),1),105),"mmm/yyyy")</f>
        <v/>
      </c>
      <c r="D119" s="51">
        <f>IFERROR(EDATE(DATE(VALUE(RIGHT(D5,4)),MATCH(LEFT(D5,3),{"Jan","Fev","Mar","Abr","Mai","Jun","Jul","Ago","Set","Out","Nov","Dez"},0),5),105),"—")</f>
        <v/>
      </c>
      <c r="E119" s="39">
        <f>$H$4</f>
        <v/>
      </c>
      <c r="F119" s="52">
        <f>IFERROR(F118-H118-J118,0)</f>
        <v/>
      </c>
      <c r="G119" s="53">
        <f>IF($H$4="PRICE",$L$4,IF($H$4="SAC",$L$5,0))</f>
        <v/>
      </c>
      <c r="H119" s="54">
        <f>IFERROR(IF($H$4="SAC",$D$4/$D$6,G119-I119-K119),0)</f>
        <v/>
      </c>
      <c r="I119" s="55">
        <f>IFERROR(F119*$D$7,0)</f>
        <v/>
      </c>
      <c r="J119" s="44" t="n"/>
      <c r="K119" s="56">
        <f>IFERROR($H$5,0)</f>
        <v/>
      </c>
      <c r="L119" s="46" t="n"/>
      <c r="M119" s="44" t="n"/>
      <c r="N119" s="47">
        <f>IFERROR(N118+M119,N118)</f>
        <v/>
      </c>
      <c r="O119" s="48">
        <f>IF(M119="","⏳ PENDENTE",IF(M119&gt;=G119,"✅ PAGO","⚠️ PARCIAL"))</f>
        <v/>
      </c>
    </row>
    <row r="120" ht="19" customHeight="1">
      <c r="A120" s="5" t="n"/>
      <c r="B120" s="36" t="n">
        <v>107</v>
      </c>
      <c r="C120" s="37">
        <f>IFERROR(TEXT(EDATE(DATE(VALUE(RIGHT(D5,4)),MATCH(LEFT(D5,3),{"Jan","Fev","Mar","Abr","Mai","Jun","Jul","Ago","Set","Out","Nov","Dez"},0),1),106),"mmm/yyyy")</f>
        <v/>
      </c>
      <c r="D120" s="38">
        <f>IFERROR(EDATE(DATE(VALUE(RIGHT(D5,4)),MATCH(LEFT(D5,3),{"Jan","Fev","Mar","Abr","Mai","Jun","Jul","Ago","Set","Out","Nov","Dez"},0),5),106),"—")</f>
        <v/>
      </c>
      <c r="E120" s="39">
        <f>$H$4</f>
        <v/>
      </c>
      <c r="F120" s="40">
        <f>IFERROR(F119-H119-J119,0)</f>
        <v/>
      </c>
      <c r="G120" s="41">
        <f>IF($H$4="PRICE",$L$4,IF($H$4="SAC",$L$5,0))</f>
        <v/>
      </c>
      <c r="H120" s="42">
        <f>IFERROR(IF($H$4="SAC",$D$4/$D$6,G120-I120-K120),0)</f>
        <v/>
      </c>
      <c r="I120" s="43">
        <f>IFERROR(F120*$D$7,0)</f>
        <v/>
      </c>
      <c r="J120" s="44" t="n"/>
      <c r="K120" s="45">
        <f>IFERROR($H$5,0)</f>
        <v/>
      </c>
      <c r="L120" s="46" t="n"/>
      <c r="M120" s="44" t="n"/>
      <c r="N120" s="47">
        <f>IFERROR(N119+M120,N119)</f>
        <v/>
      </c>
      <c r="O120" s="48">
        <f>IF(M120="","⏳ PENDENTE",IF(M120&gt;=G120,"✅ PAGO","⚠️ PARCIAL"))</f>
        <v/>
      </c>
    </row>
    <row r="121" ht="19" customHeight="1">
      <c r="A121" s="1" t="n"/>
      <c r="B121" s="49" t="n">
        <v>108</v>
      </c>
      <c r="C121" s="50">
        <f>IFERROR(TEXT(EDATE(DATE(VALUE(RIGHT(D5,4)),MATCH(LEFT(D5,3),{"Jan","Fev","Mar","Abr","Mai","Jun","Jul","Ago","Set","Out","Nov","Dez"},0),1),107),"mmm/yyyy")</f>
        <v/>
      </c>
      <c r="D121" s="51">
        <f>IFERROR(EDATE(DATE(VALUE(RIGHT(D5,4)),MATCH(LEFT(D5,3),{"Jan","Fev","Mar","Abr","Mai","Jun","Jul","Ago","Set","Out","Nov","Dez"},0),5),107),"—")</f>
        <v/>
      </c>
      <c r="E121" s="39">
        <f>$H$4</f>
        <v/>
      </c>
      <c r="F121" s="52">
        <f>IFERROR(F120-H120-J120,0)</f>
        <v/>
      </c>
      <c r="G121" s="53">
        <f>IF($H$4="PRICE",$L$4,IF($H$4="SAC",$L$5,0))</f>
        <v/>
      </c>
      <c r="H121" s="54">
        <f>IFERROR(IF($H$4="SAC",$D$4/$D$6,G121-I121-K121),0)</f>
        <v/>
      </c>
      <c r="I121" s="55">
        <f>IFERROR(F121*$D$7,0)</f>
        <v/>
      </c>
      <c r="J121" s="44" t="n"/>
      <c r="K121" s="56">
        <f>IFERROR($H$5,0)</f>
        <v/>
      </c>
      <c r="L121" s="46" t="n"/>
      <c r="M121" s="44" t="n"/>
      <c r="N121" s="47">
        <f>IFERROR(N120+M121,N120)</f>
        <v/>
      </c>
      <c r="O121" s="48">
        <f>IF(M121="","⏳ PENDENTE",IF(M121&gt;=G121,"✅ PAGO","⚠️ PARCIAL"))</f>
        <v/>
      </c>
    </row>
    <row r="122" ht="19" customHeight="1">
      <c r="A122" s="5" t="n"/>
      <c r="B122" s="36" t="n">
        <v>109</v>
      </c>
      <c r="C122" s="37">
        <f>IFERROR(TEXT(EDATE(DATE(VALUE(RIGHT(D5,4)),MATCH(LEFT(D5,3),{"Jan","Fev","Mar","Abr","Mai","Jun","Jul","Ago","Set","Out","Nov","Dez"},0),1),108),"mmm/yyyy")</f>
        <v/>
      </c>
      <c r="D122" s="38">
        <f>IFERROR(EDATE(DATE(VALUE(RIGHT(D5,4)),MATCH(LEFT(D5,3),{"Jan","Fev","Mar","Abr","Mai","Jun","Jul","Ago","Set","Out","Nov","Dez"},0),5),108),"—")</f>
        <v/>
      </c>
      <c r="E122" s="39">
        <f>$H$4</f>
        <v/>
      </c>
      <c r="F122" s="40">
        <f>IFERROR(F121-H121-J121,0)</f>
        <v/>
      </c>
      <c r="G122" s="41">
        <f>IF($H$4="PRICE",$L$4,IF($H$4="SAC",$L$5,0))</f>
        <v/>
      </c>
      <c r="H122" s="42">
        <f>IFERROR(IF($H$4="SAC",$D$4/$D$6,G122-I122-K122),0)</f>
        <v/>
      </c>
      <c r="I122" s="43">
        <f>IFERROR(F122*$D$7,0)</f>
        <v/>
      </c>
      <c r="J122" s="44" t="n"/>
      <c r="K122" s="45">
        <f>IFERROR($H$5,0)</f>
        <v/>
      </c>
      <c r="L122" s="46" t="n"/>
      <c r="M122" s="44" t="n"/>
      <c r="N122" s="47">
        <f>IFERROR(N121+M122,N121)</f>
        <v/>
      </c>
      <c r="O122" s="48">
        <f>IF(M122="","⏳ PENDENTE",IF(M122&gt;=G122,"✅ PAGO","⚠️ PARCIAL"))</f>
        <v/>
      </c>
    </row>
    <row r="123" ht="19" customHeight="1">
      <c r="A123" s="1" t="n"/>
      <c r="B123" s="49" t="n">
        <v>110</v>
      </c>
      <c r="C123" s="50">
        <f>IFERROR(TEXT(EDATE(DATE(VALUE(RIGHT(D5,4)),MATCH(LEFT(D5,3),{"Jan","Fev","Mar","Abr","Mai","Jun","Jul","Ago","Set","Out","Nov","Dez"},0),1),109),"mmm/yyyy")</f>
        <v/>
      </c>
      <c r="D123" s="51">
        <f>IFERROR(EDATE(DATE(VALUE(RIGHT(D5,4)),MATCH(LEFT(D5,3),{"Jan","Fev","Mar","Abr","Mai","Jun","Jul","Ago","Set","Out","Nov","Dez"},0),5),109),"—")</f>
        <v/>
      </c>
      <c r="E123" s="39">
        <f>$H$4</f>
        <v/>
      </c>
      <c r="F123" s="52">
        <f>IFERROR(F122-H122-J122,0)</f>
        <v/>
      </c>
      <c r="G123" s="53">
        <f>IF($H$4="PRICE",$L$4,IF($H$4="SAC",$L$5,0))</f>
        <v/>
      </c>
      <c r="H123" s="54">
        <f>IFERROR(IF($H$4="SAC",$D$4/$D$6,G123-I123-K123),0)</f>
        <v/>
      </c>
      <c r="I123" s="55">
        <f>IFERROR(F123*$D$7,0)</f>
        <v/>
      </c>
      <c r="J123" s="44" t="n"/>
      <c r="K123" s="56">
        <f>IFERROR($H$5,0)</f>
        <v/>
      </c>
      <c r="L123" s="46" t="n"/>
      <c r="M123" s="44" t="n"/>
      <c r="N123" s="47">
        <f>IFERROR(N122+M123,N122)</f>
        <v/>
      </c>
      <c r="O123" s="48">
        <f>IF(M123="","⏳ PENDENTE",IF(M123&gt;=G123,"✅ PAGO","⚠️ PARCIAL"))</f>
        <v/>
      </c>
    </row>
    <row r="124" ht="19" customHeight="1">
      <c r="A124" s="5" t="n"/>
      <c r="B124" s="36" t="n">
        <v>111</v>
      </c>
      <c r="C124" s="37">
        <f>IFERROR(TEXT(EDATE(DATE(VALUE(RIGHT(D5,4)),MATCH(LEFT(D5,3),{"Jan","Fev","Mar","Abr","Mai","Jun","Jul","Ago","Set","Out","Nov","Dez"},0),1),110),"mmm/yyyy")</f>
        <v/>
      </c>
      <c r="D124" s="38">
        <f>IFERROR(EDATE(DATE(VALUE(RIGHT(D5,4)),MATCH(LEFT(D5,3),{"Jan","Fev","Mar","Abr","Mai","Jun","Jul","Ago","Set","Out","Nov","Dez"},0),5),110),"—")</f>
        <v/>
      </c>
      <c r="E124" s="39">
        <f>$H$4</f>
        <v/>
      </c>
      <c r="F124" s="40">
        <f>IFERROR(F123-H123-J123,0)</f>
        <v/>
      </c>
      <c r="G124" s="41">
        <f>IF($H$4="PRICE",$L$4,IF($H$4="SAC",$L$5,0))</f>
        <v/>
      </c>
      <c r="H124" s="42">
        <f>IFERROR(IF($H$4="SAC",$D$4/$D$6,G124-I124-K124),0)</f>
        <v/>
      </c>
      <c r="I124" s="43">
        <f>IFERROR(F124*$D$7,0)</f>
        <v/>
      </c>
      <c r="J124" s="44" t="n"/>
      <c r="K124" s="45">
        <f>IFERROR($H$5,0)</f>
        <v/>
      </c>
      <c r="L124" s="46" t="n"/>
      <c r="M124" s="44" t="n"/>
      <c r="N124" s="47">
        <f>IFERROR(N123+M124,N123)</f>
        <v/>
      </c>
      <c r="O124" s="48">
        <f>IF(M124="","⏳ PENDENTE",IF(M124&gt;=G124,"✅ PAGO","⚠️ PARCIAL"))</f>
        <v/>
      </c>
    </row>
    <row r="125" ht="19" customHeight="1">
      <c r="A125" s="1" t="n"/>
      <c r="B125" s="49" t="n">
        <v>112</v>
      </c>
      <c r="C125" s="50">
        <f>IFERROR(TEXT(EDATE(DATE(VALUE(RIGHT(D5,4)),MATCH(LEFT(D5,3),{"Jan","Fev","Mar","Abr","Mai","Jun","Jul","Ago","Set","Out","Nov","Dez"},0),1),111),"mmm/yyyy")</f>
        <v/>
      </c>
      <c r="D125" s="51">
        <f>IFERROR(EDATE(DATE(VALUE(RIGHT(D5,4)),MATCH(LEFT(D5,3),{"Jan","Fev","Mar","Abr","Mai","Jun","Jul","Ago","Set","Out","Nov","Dez"},0),5),111),"—")</f>
        <v/>
      </c>
      <c r="E125" s="39">
        <f>$H$4</f>
        <v/>
      </c>
      <c r="F125" s="52">
        <f>IFERROR(F124-H124-J124,0)</f>
        <v/>
      </c>
      <c r="G125" s="53">
        <f>IF($H$4="PRICE",$L$4,IF($H$4="SAC",$L$5,0))</f>
        <v/>
      </c>
      <c r="H125" s="54">
        <f>IFERROR(IF($H$4="SAC",$D$4/$D$6,G125-I125-K125),0)</f>
        <v/>
      </c>
      <c r="I125" s="55">
        <f>IFERROR(F125*$D$7,0)</f>
        <v/>
      </c>
      <c r="J125" s="44" t="n"/>
      <c r="K125" s="56">
        <f>IFERROR($H$5,0)</f>
        <v/>
      </c>
      <c r="L125" s="46" t="n"/>
      <c r="M125" s="44" t="n"/>
      <c r="N125" s="47">
        <f>IFERROR(N124+M125,N124)</f>
        <v/>
      </c>
      <c r="O125" s="48">
        <f>IF(M125="","⏳ PENDENTE",IF(M125&gt;=G125,"✅ PAGO","⚠️ PARCIAL"))</f>
        <v/>
      </c>
    </row>
    <row r="126" ht="19" customHeight="1">
      <c r="A126" s="5" t="n"/>
      <c r="B126" s="36" t="n">
        <v>113</v>
      </c>
      <c r="C126" s="37">
        <f>IFERROR(TEXT(EDATE(DATE(VALUE(RIGHT(D5,4)),MATCH(LEFT(D5,3),{"Jan","Fev","Mar","Abr","Mai","Jun","Jul","Ago","Set","Out","Nov","Dez"},0),1),112),"mmm/yyyy")</f>
        <v/>
      </c>
      <c r="D126" s="38">
        <f>IFERROR(EDATE(DATE(VALUE(RIGHT(D5,4)),MATCH(LEFT(D5,3),{"Jan","Fev","Mar","Abr","Mai","Jun","Jul","Ago","Set","Out","Nov","Dez"},0),5),112),"—")</f>
        <v/>
      </c>
      <c r="E126" s="39">
        <f>$H$4</f>
        <v/>
      </c>
      <c r="F126" s="40">
        <f>IFERROR(F125-H125-J125,0)</f>
        <v/>
      </c>
      <c r="G126" s="41">
        <f>IF($H$4="PRICE",$L$4,IF($H$4="SAC",$L$5,0))</f>
        <v/>
      </c>
      <c r="H126" s="42">
        <f>IFERROR(IF($H$4="SAC",$D$4/$D$6,G126-I126-K126),0)</f>
        <v/>
      </c>
      <c r="I126" s="43">
        <f>IFERROR(F126*$D$7,0)</f>
        <v/>
      </c>
      <c r="J126" s="44" t="n"/>
      <c r="K126" s="45">
        <f>IFERROR($H$5,0)</f>
        <v/>
      </c>
      <c r="L126" s="46" t="n"/>
      <c r="M126" s="44" t="n"/>
      <c r="N126" s="47">
        <f>IFERROR(N125+M126,N125)</f>
        <v/>
      </c>
      <c r="O126" s="48">
        <f>IF(M126="","⏳ PENDENTE",IF(M126&gt;=G126,"✅ PAGO","⚠️ PARCIAL"))</f>
        <v/>
      </c>
    </row>
    <row r="127" ht="19" customHeight="1">
      <c r="A127" s="1" t="n"/>
      <c r="B127" s="49" t="n">
        <v>114</v>
      </c>
      <c r="C127" s="50">
        <f>IFERROR(TEXT(EDATE(DATE(VALUE(RIGHT(D5,4)),MATCH(LEFT(D5,3),{"Jan","Fev","Mar","Abr","Mai","Jun","Jul","Ago","Set","Out","Nov","Dez"},0),1),113),"mmm/yyyy")</f>
        <v/>
      </c>
      <c r="D127" s="51">
        <f>IFERROR(EDATE(DATE(VALUE(RIGHT(D5,4)),MATCH(LEFT(D5,3),{"Jan","Fev","Mar","Abr","Mai","Jun","Jul","Ago","Set","Out","Nov","Dez"},0),5),113),"—")</f>
        <v/>
      </c>
      <c r="E127" s="39">
        <f>$H$4</f>
        <v/>
      </c>
      <c r="F127" s="52">
        <f>IFERROR(F126-H126-J126,0)</f>
        <v/>
      </c>
      <c r="G127" s="53">
        <f>IF($H$4="PRICE",$L$4,IF($H$4="SAC",$L$5,0))</f>
        <v/>
      </c>
      <c r="H127" s="54">
        <f>IFERROR(IF($H$4="SAC",$D$4/$D$6,G127-I127-K127),0)</f>
        <v/>
      </c>
      <c r="I127" s="55">
        <f>IFERROR(F127*$D$7,0)</f>
        <v/>
      </c>
      <c r="J127" s="44" t="n"/>
      <c r="K127" s="56">
        <f>IFERROR($H$5,0)</f>
        <v/>
      </c>
      <c r="L127" s="46" t="n"/>
      <c r="M127" s="44" t="n"/>
      <c r="N127" s="47">
        <f>IFERROR(N126+M127,N126)</f>
        <v/>
      </c>
      <c r="O127" s="48">
        <f>IF(M127="","⏳ PENDENTE",IF(M127&gt;=G127,"✅ PAGO","⚠️ PARCIAL"))</f>
        <v/>
      </c>
    </row>
    <row r="128" ht="19" customHeight="1">
      <c r="A128" s="5" t="n"/>
      <c r="B128" s="36" t="n">
        <v>115</v>
      </c>
      <c r="C128" s="37">
        <f>IFERROR(TEXT(EDATE(DATE(VALUE(RIGHT(D5,4)),MATCH(LEFT(D5,3),{"Jan","Fev","Mar","Abr","Mai","Jun","Jul","Ago","Set","Out","Nov","Dez"},0),1),114),"mmm/yyyy")</f>
        <v/>
      </c>
      <c r="D128" s="38">
        <f>IFERROR(EDATE(DATE(VALUE(RIGHT(D5,4)),MATCH(LEFT(D5,3),{"Jan","Fev","Mar","Abr","Mai","Jun","Jul","Ago","Set","Out","Nov","Dez"},0),5),114),"—")</f>
        <v/>
      </c>
      <c r="E128" s="39">
        <f>$H$4</f>
        <v/>
      </c>
      <c r="F128" s="40">
        <f>IFERROR(F127-H127-J127,0)</f>
        <v/>
      </c>
      <c r="G128" s="41">
        <f>IF($H$4="PRICE",$L$4,IF($H$4="SAC",$L$5,0))</f>
        <v/>
      </c>
      <c r="H128" s="42">
        <f>IFERROR(IF($H$4="SAC",$D$4/$D$6,G128-I128-K128),0)</f>
        <v/>
      </c>
      <c r="I128" s="43">
        <f>IFERROR(F128*$D$7,0)</f>
        <v/>
      </c>
      <c r="J128" s="44" t="n"/>
      <c r="K128" s="45">
        <f>IFERROR($H$5,0)</f>
        <v/>
      </c>
      <c r="L128" s="46" t="n"/>
      <c r="M128" s="44" t="n"/>
      <c r="N128" s="47">
        <f>IFERROR(N127+M128,N127)</f>
        <v/>
      </c>
      <c r="O128" s="48">
        <f>IF(M128="","⏳ PENDENTE",IF(M128&gt;=G128,"✅ PAGO","⚠️ PARCIAL"))</f>
        <v/>
      </c>
    </row>
    <row r="129" ht="19" customHeight="1">
      <c r="A129" s="1" t="n"/>
      <c r="B129" s="49" t="n">
        <v>116</v>
      </c>
      <c r="C129" s="50">
        <f>IFERROR(TEXT(EDATE(DATE(VALUE(RIGHT(D5,4)),MATCH(LEFT(D5,3),{"Jan","Fev","Mar","Abr","Mai","Jun","Jul","Ago","Set","Out","Nov","Dez"},0),1),115),"mmm/yyyy")</f>
        <v/>
      </c>
      <c r="D129" s="51">
        <f>IFERROR(EDATE(DATE(VALUE(RIGHT(D5,4)),MATCH(LEFT(D5,3),{"Jan","Fev","Mar","Abr","Mai","Jun","Jul","Ago","Set","Out","Nov","Dez"},0),5),115),"—")</f>
        <v/>
      </c>
      <c r="E129" s="39">
        <f>$H$4</f>
        <v/>
      </c>
      <c r="F129" s="52">
        <f>IFERROR(F128-H128-J128,0)</f>
        <v/>
      </c>
      <c r="G129" s="53">
        <f>IF($H$4="PRICE",$L$4,IF($H$4="SAC",$L$5,0))</f>
        <v/>
      </c>
      <c r="H129" s="54">
        <f>IFERROR(IF($H$4="SAC",$D$4/$D$6,G129-I129-K129),0)</f>
        <v/>
      </c>
      <c r="I129" s="55">
        <f>IFERROR(F129*$D$7,0)</f>
        <v/>
      </c>
      <c r="J129" s="44" t="n"/>
      <c r="K129" s="56">
        <f>IFERROR($H$5,0)</f>
        <v/>
      </c>
      <c r="L129" s="46" t="n"/>
      <c r="M129" s="44" t="n"/>
      <c r="N129" s="47">
        <f>IFERROR(N128+M129,N128)</f>
        <v/>
      </c>
      <c r="O129" s="48">
        <f>IF(M129="","⏳ PENDENTE",IF(M129&gt;=G129,"✅ PAGO","⚠️ PARCIAL"))</f>
        <v/>
      </c>
    </row>
    <row r="130" ht="19" customHeight="1">
      <c r="A130" s="5" t="n"/>
      <c r="B130" s="36" t="n">
        <v>117</v>
      </c>
      <c r="C130" s="37">
        <f>IFERROR(TEXT(EDATE(DATE(VALUE(RIGHT(D5,4)),MATCH(LEFT(D5,3),{"Jan","Fev","Mar","Abr","Mai","Jun","Jul","Ago","Set","Out","Nov","Dez"},0),1),116),"mmm/yyyy")</f>
        <v/>
      </c>
      <c r="D130" s="38">
        <f>IFERROR(EDATE(DATE(VALUE(RIGHT(D5,4)),MATCH(LEFT(D5,3),{"Jan","Fev","Mar","Abr","Mai","Jun","Jul","Ago","Set","Out","Nov","Dez"},0),5),116),"—")</f>
        <v/>
      </c>
      <c r="E130" s="39">
        <f>$H$4</f>
        <v/>
      </c>
      <c r="F130" s="40">
        <f>IFERROR(F129-H129-J129,0)</f>
        <v/>
      </c>
      <c r="G130" s="41">
        <f>IF($H$4="PRICE",$L$4,IF($H$4="SAC",$L$5,0))</f>
        <v/>
      </c>
      <c r="H130" s="42">
        <f>IFERROR(IF($H$4="SAC",$D$4/$D$6,G130-I130-K130),0)</f>
        <v/>
      </c>
      <c r="I130" s="43">
        <f>IFERROR(F130*$D$7,0)</f>
        <v/>
      </c>
      <c r="J130" s="44" t="n"/>
      <c r="K130" s="45">
        <f>IFERROR($H$5,0)</f>
        <v/>
      </c>
      <c r="L130" s="46" t="n"/>
      <c r="M130" s="44" t="n"/>
      <c r="N130" s="47">
        <f>IFERROR(N129+M130,N129)</f>
        <v/>
      </c>
      <c r="O130" s="48">
        <f>IF(M130="","⏳ PENDENTE",IF(M130&gt;=G130,"✅ PAGO","⚠️ PARCIAL"))</f>
        <v/>
      </c>
    </row>
    <row r="131" ht="19" customHeight="1">
      <c r="A131" s="1" t="n"/>
      <c r="B131" s="49" t="n">
        <v>118</v>
      </c>
      <c r="C131" s="50">
        <f>IFERROR(TEXT(EDATE(DATE(VALUE(RIGHT(D5,4)),MATCH(LEFT(D5,3),{"Jan","Fev","Mar","Abr","Mai","Jun","Jul","Ago","Set","Out","Nov","Dez"},0),1),117),"mmm/yyyy")</f>
        <v/>
      </c>
      <c r="D131" s="51">
        <f>IFERROR(EDATE(DATE(VALUE(RIGHT(D5,4)),MATCH(LEFT(D5,3),{"Jan","Fev","Mar","Abr","Mai","Jun","Jul","Ago","Set","Out","Nov","Dez"},0),5),117),"—")</f>
        <v/>
      </c>
      <c r="E131" s="39">
        <f>$H$4</f>
        <v/>
      </c>
      <c r="F131" s="52">
        <f>IFERROR(F130-H130-J130,0)</f>
        <v/>
      </c>
      <c r="G131" s="53">
        <f>IF($H$4="PRICE",$L$4,IF($H$4="SAC",$L$5,0))</f>
        <v/>
      </c>
      <c r="H131" s="54">
        <f>IFERROR(IF($H$4="SAC",$D$4/$D$6,G131-I131-K131),0)</f>
        <v/>
      </c>
      <c r="I131" s="55">
        <f>IFERROR(F131*$D$7,0)</f>
        <v/>
      </c>
      <c r="J131" s="44" t="n"/>
      <c r="K131" s="56">
        <f>IFERROR($H$5,0)</f>
        <v/>
      </c>
      <c r="L131" s="46" t="n"/>
      <c r="M131" s="44" t="n"/>
      <c r="N131" s="47">
        <f>IFERROR(N130+M131,N130)</f>
        <v/>
      </c>
      <c r="O131" s="48">
        <f>IF(M131="","⏳ PENDENTE",IF(M131&gt;=G131,"✅ PAGO","⚠️ PARCIAL"))</f>
        <v/>
      </c>
    </row>
    <row r="132" ht="19" customHeight="1">
      <c r="A132" s="5" t="n"/>
      <c r="B132" s="36" t="n">
        <v>119</v>
      </c>
      <c r="C132" s="37">
        <f>IFERROR(TEXT(EDATE(DATE(VALUE(RIGHT(D5,4)),MATCH(LEFT(D5,3),{"Jan","Fev","Mar","Abr","Mai","Jun","Jul","Ago","Set","Out","Nov","Dez"},0),1),118),"mmm/yyyy")</f>
        <v/>
      </c>
      <c r="D132" s="38">
        <f>IFERROR(EDATE(DATE(VALUE(RIGHT(D5,4)),MATCH(LEFT(D5,3),{"Jan","Fev","Mar","Abr","Mai","Jun","Jul","Ago","Set","Out","Nov","Dez"},0),5),118),"—")</f>
        <v/>
      </c>
      <c r="E132" s="39">
        <f>$H$4</f>
        <v/>
      </c>
      <c r="F132" s="40">
        <f>IFERROR(F131-H131-J131,0)</f>
        <v/>
      </c>
      <c r="G132" s="41">
        <f>IF($H$4="PRICE",$L$4,IF($H$4="SAC",$L$5,0))</f>
        <v/>
      </c>
      <c r="H132" s="42">
        <f>IFERROR(IF($H$4="SAC",$D$4/$D$6,G132-I132-K132),0)</f>
        <v/>
      </c>
      <c r="I132" s="43">
        <f>IFERROR(F132*$D$7,0)</f>
        <v/>
      </c>
      <c r="J132" s="44" t="n"/>
      <c r="K132" s="45">
        <f>IFERROR($H$5,0)</f>
        <v/>
      </c>
      <c r="L132" s="46" t="n"/>
      <c r="M132" s="44" t="n"/>
      <c r="N132" s="47">
        <f>IFERROR(N131+M132,N131)</f>
        <v/>
      </c>
      <c r="O132" s="48">
        <f>IF(M132="","⏳ PENDENTE",IF(M132&gt;=G132,"✅ PAGO","⚠️ PARCIAL"))</f>
        <v/>
      </c>
    </row>
    <row r="133" ht="19" customHeight="1">
      <c r="A133" s="1" t="n"/>
      <c r="B133" s="49" t="n">
        <v>120</v>
      </c>
      <c r="C133" s="50">
        <f>IFERROR(TEXT(EDATE(DATE(VALUE(RIGHT(D5,4)),MATCH(LEFT(D5,3),{"Jan","Fev","Mar","Abr","Mai","Jun","Jul","Ago","Set","Out","Nov","Dez"},0),1),119),"mmm/yyyy")</f>
        <v/>
      </c>
      <c r="D133" s="51">
        <f>IFERROR(EDATE(DATE(VALUE(RIGHT(D5,4)),MATCH(LEFT(D5,3),{"Jan","Fev","Mar","Abr","Mai","Jun","Jul","Ago","Set","Out","Nov","Dez"},0),5),119),"—")</f>
        <v/>
      </c>
      <c r="E133" s="39">
        <f>$H$4</f>
        <v/>
      </c>
      <c r="F133" s="52">
        <f>IFERROR(F132-H132-J132,0)</f>
        <v/>
      </c>
      <c r="G133" s="53">
        <f>IF($H$4="PRICE",$L$4,IF($H$4="SAC",$L$5,0))</f>
        <v/>
      </c>
      <c r="H133" s="54">
        <f>IFERROR(IF($H$4="SAC",$D$4/$D$6,G133-I133-K133),0)</f>
        <v/>
      </c>
      <c r="I133" s="55">
        <f>IFERROR(F133*$D$7,0)</f>
        <v/>
      </c>
      <c r="J133" s="44" t="n"/>
      <c r="K133" s="56">
        <f>IFERROR($H$5,0)</f>
        <v/>
      </c>
      <c r="L133" s="46" t="n"/>
      <c r="M133" s="44" t="n"/>
      <c r="N133" s="47">
        <f>IFERROR(N132+M133,N132)</f>
        <v/>
      </c>
      <c r="O133" s="48">
        <f>IF(M133="","⏳ PENDENTE",IF(M133&gt;=G133,"✅ PAGO","⚠️ PARCIAL"))</f>
        <v/>
      </c>
    </row>
    <row r="134" ht="19" customHeight="1">
      <c r="A134" s="5" t="n"/>
      <c r="B134" s="36" t="n">
        <v>121</v>
      </c>
      <c r="C134" s="37">
        <f>IFERROR(TEXT(EDATE(DATE(VALUE(RIGHT(D5,4)),MATCH(LEFT(D5,3),{"Jan","Fev","Mar","Abr","Mai","Jun","Jul","Ago","Set","Out","Nov","Dez"},0),1),120),"mmm/yyyy")</f>
        <v/>
      </c>
      <c r="D134" s="38">
        <f>IFERROR(EDATE(DATE(VALUE(RIGHT(D5,4)),MATCH(LEFT(D5,3),{"Jan","Fev","Mar","Abr","Mai","Jun","Jul","Ago","Set","Out","Nov","Dez"},0),5),120),"—")</f>
        <v/>
      </c>
      <c r="E134" s="39">
        <f>$H$4</f>
        <v/>
      </c>
      <c r="F134" s="40">
        <f>IFERROR(F133-H133-J133,0)</f>
        <v/>
      </c>
      <c r="G134" s="41">
        <f>IF($H$4="PRICE",$L$4,IF($H$4="SAC",$L$5,0))</f>
        <v/>
      </c>
      <c r="H134" s="42">
        <f>IFERROR(IF($H$4="SAC",$D$4/$D$6,G134-I134-K134),0)</f>
        <v/>
      </c>
      <c r="I134" s="43">
        <f>IFERROR(F134*$D$7,0)</f>
        <v/>
      </c>
      <c r="J134" s="44" t="n"/>
      <c r="K134" s="45">
        <f>IFERROR($H$5,0)</f>
        <v/>
      </c>
      <c r="L134" s="46" t="n"/>
      <c r="M134" s="44" t="n"/>
      <c r="N134" s="47">
        <f>IFERROR(N133+M134,N133)</f>
        <v/>
      </c>
      <c r="O134" s="48">
        <f>IF(M134="","⏳ PENDENTE",IF(M134&gt;=G134,"✅ PAGO","⚠️ PARCIAL"))</f>
        <v/>
      </c>
    </row>
    <row r="135" ht="19" customHeight="1">
      <c r="A135" s="1" t="n"/>
      <c r="B135" s="49" t="n">
        <v>122</v>
      </c>
      <c r="C135" s="50">
        <f>IFERROR(TEXT(EDATE(DATE(VALUE(RIGHT(D5,4)),MATCH(LEFT(D5,3),{"Jan","Fev","Mar","Abr","Mai","Jun","Jul","Ago","Set","Out","Nov","Dez"},0),1),121),"mmm/yyyy")</f>
        <v/>
      </c>
      <c r="D135" s="51">
        <f>IFERROR(EDATE(DATE(VALUE(RIGHT(D5,4)),MATCH(LEFT(D5,3),{"Jan","Fev","Mar","Abr","Mai","Jun","Jul","Ago","Set","Out","Nov","Dez"},0),5),121),"—")</f>
        <v/>
      </c>
      <c r="E135" s="39">
        <f>$H$4</f>
        <v/>
      </c>
      <c r="F135" s="52">
        <f>IFERROR(F134-H134-J134,0)</f>
        <v/>
      </c>
      <c r="G135" s="53">
        <f>IF($H$4="PRICE",$L$4,IF($H$4="SAC",$L$5,0))</f>
        <v/>
      </c>
      <c r="H135" s="54">
        <f>IFERROR(IF($H$4="SAC",$D$4/$D$6,G135-I135-K135),0)</f>
        <v/>
      </c>
      <c r="I135" s="55">
        <f>IFERROR(F135*$D$7,0)</f>
        <v/>
      </c>
      <c r="J135" s="44" t="n"/>
      <c r="K135" s="56">
        <f>IFERROR($H$5,0)</f>
        <v/>
      </c>
      <c r="L135" s="46" t="n"/>
      <c r="M135" s="44" t="n"/>
      <c r="N135" s="47">
        <f>IFERROR(N134+M135,N134)</f>
        <v/>
      </c>
      <c r="O135" s="48">
        <f>IF(M135="","⏳ PENDENTE",IF(M135&gt;=G135,"✅ PAGO","⚠️ PARCIAL"))</f>
        <v/>
      </c>
    </row>
    <row r="136" ht="19" customHeight="1">
      <c r="A136" s="5" t="n"/>
      <c r="B136" s="36" t="n">
        <v>123</v>
      </c>
      <c r="C136" s="37">
        <f>IFERROR(TEXT(EDATE(DATE(VALUE(RIGHT(D5,4)),MATCH(LEFT(D5,3),{"Jan","Fev","Mar","Abr","Mai","Jun","Jul","Ago","Set","Out","Nov","Dez"},0),1),122),"mmm/yyyy")</f>
        <v/>
      </c>
      <c r="D136" s="38">
        <f>IFERROR(EDATE(DATE(VALUE(RIGHT(D5,4)),MATCH(LEFT(D5,3),{"Jan","Fev","Mar","Abr","Mai","Jun","Jul","Ago","Set","Out","Nov","Dez"},0),5),122),"—")</f>
        <v/>
      </c>
      <c r="E136" s="39">
        <f>$H$4</f>
        <v/>
      </c>
      <c r="F136" s="40">
        <f>IFERROR(F135-H135-J135,0)</f>
        <v/>
      </c>
      <c r="G136" s="41">
        <f>IF($H$4="PRICE",$L$4,IF($H$4="SAC",$L$5,0))</f>
        <v/>
      </c>
      <c r="H136" s="42">
        <f>IFERROR(IF($H$4="SAC",$D$4/$D$6,G136-I136-K136),0)</f>
        <v/>
      </c>
      <c r="I136" s="43">
        <f>IFERROR(F136*$D$7,0)</f>
        <v/>
      </c>
      <c r="J136" s="44" t="n"/>
      <c r="K136" s="45">
        <f>IFERROR($H$5,0)</f>
        <v/>
      </c>
      <c r="L136" s="46" t="n"/>
      <c r="M136" s="44" t="n"/>
      <c r="N136" s="47">
        <f>IFERROR(N135+M136,N135)</f>
        <v/>
      </c>
      <c r="O136" s="48">
        <f>IF(M136="","⏳ PENDENTE",IF(M136&gt;=G136,"✅ PAGO","⚠️ PARCIAL"))</f>
        <v/>
      </c>
    </row>
    <row r="137" ht="19" customHeight="1">
      <c r="A137" s="1" t="n"/>
      <c r="B137" s="49" t="n">
        <v>124</v>
      </c>
      <c r="C137" s="50">
        <f>IFERROR(TEXT(EDATE(DATE(VALUE(RIGHT(D5,4)),MATCH(LEFT(D5,3),{"Jan","Fev","Mar","Abr","Mai","Jun","Jul","Ago","Set","Out","Nov","Dez"},0),1),123),"mmm/yyyy")</f>
        <v/>
      </c>
      <c r="D137" s="51">
        <f>IFERROR(EDATE(DATE(VALUE(RIGHT(D5,4)),MATCH(LEFT(D5,3),{"Jan","Fev","Mar","Abr","Mai","Jun","Jul","Ago","Set","Out","Nov","Dez"},0),5),123),"—")</f>
        <v/>
      </c>
      <c r="E137" s="39">
        <f>$H$4</f>
        <v/>
      </c>
      <c r="F137" s="52">
        <f>IFERROR(F136-H136-J136,0)</f>
        <v/>
      </c>
      <c r="G137" s="53">
        <f>IF($H$4="PRICE",$L$4,IF($H$4="SAC",$L$5,0))</f>
        <v/>
      </c>
      <c r="H137" s="54">
        <f>IFERROR(IF($H$4="SAC",$D$4/$D$6,G137-I137-K137),0)</f>
        <v/>
      </c>
      <c r="I137" s="55">
        <f>IFERROR(F137*$D$7,0)</f>
        <v/>
      </c>
      <c r="J137" s="44" t="n"/>
      <c r="K137" s="56">
        <f>IFERROR($H$5,0)</f>
        <v/>
      </c>
      <c r="L137" s="46" t="n"/>
      <c r="M137" s="44" t="n"/>
      <c r="N137" s="47">
        <f>IFERROR(N136+M137,N136)</f>
        <v/>
      </c>
      <c r="O137" s="48">
        <f>IF(M137="","⏳ PENDENTE",IF(M137&gt;=G137,"✅ PAGO","⚠️ PARCIAL"))</f>
        <v/>
      </c>
    </row>
    <row r="138" ht="19" customHeight="1">
      <c r="A138" s="5" t="n"/>
      <c r="B138" s="36" t="n">
        <v>125</v>
      </c>
      <c r="C138" s="37">
        <f>IFERROR(TEXT(EDATE(DATE(VALUE(RIGHT(D5,4)),MATCH(LEFT(D5,3),{"Jan","Fev","Mar","Abr","Mai","Jun","Jul","Ago","Set","Out","Nov","Dez"},0),1),124),"mmm/yyyy")</f>
        <v/>
      </c>
      <c r="D138" s="38">
        <f>IFERROR(EDATE(DATE(VALUE(RIGHT(D5,4)),MATCH(LEFT(D5,3),{"Jan","Fev","Mar","Abr","Mai","Jun","Jul","Ago","Set","Out","Nov","Dez"},0),5),124),"—")</f>
        <v/>
      </c>
      <c r="E138" s="39">
        <f>$H$4</f>
        <v/>
      </c>
      <c r="F138" s="40">
        <f>IFERROR(F137-H137-J137,0)</f>
        <v/>
      </c>
      <c r="G138" s="41">
        <f>IF($H$4="PRICE",$L$4,IF($H$4="SAC",$L$5,0))</f>
        <v/>
      </c>
      <c r="H138" s="42">
        <f>IFERROR(IF($H$4="SAC",$D$4/$D$6,G138-I138-K138),0)</f>
        <v/>
      </c>
      <c r="I138" s="43">
        <f>IFERROR(F138*$D$7,0)</f>
        <v/>
      </c>
      <c r="J138" s="44" t="n"/>
      <c r="K138" s="45">
        <f>IFERROR($H$5,0)</f>
        <v/>
      </c>
      <c r="L138" s="46" t="n"/>
      <c r="M138" s="44" t="n"/>
      <c r="N138" s="47">
        <f>IFERROR(N137+M138,N137)</f>
        <v/>
      </c>
      <c r="O138" s="48">
        <f>IF(M138="","⏳ PENDENTE",IF(M138&gt;=G138,"✅ PAGO","⚠️ PARCIAL"))</f>
        <v/>
      </c>
    </row>
    <row r="139" ht="19" customHeight="1">
      <c r="A139" s="1" t="n"/>
      <c r="B139" s="49" t="n">
        <v>126</v>
      </c>
      <c r="C139" s="50">
        <f>IFERROR(TEXT(EDATE(DATE(VALUE(RIGHT(D5,4)),MATCH(LEFT(D5,3),{"Jan","Fev","Mar","Abr","Mai","Jun","Jul","Ago","Set","Out","Nov","Dez"},0),1),125),"mmm/yyyy")</f>
        <v/>
      </c>
      <c r="D139" s="51">
        <f>IFERROR(EDATE(DATE(VALUE(RIGHT(D5,4)),MATCH(LEFT(D5,3),{"Jan","Fev","Mar","Abr","Mai","Jun","Jul","Ago","Set","Out","Nov","Dez"},0),5),125),"—")</f>
        <v/>
      </c>
      <c r="E139" s="39">
        <f>$H$4</f>
        <v/>
      </c>
      <c r="F139" s="52">
        <f>IFERROR(F138-H138-J138,0)</f>
        <v/>
      </c>
      <c r="G139" s="53">
        <f>IF($H$4="PRICE",$L$4,IF($H$4="SAC",$L$5,0))</f>
        <v/>
      </c>
      <c r="H139" s="54">
        <f>IFERROR(IF($H$4="SAC",$D$4/$D$6,G139-I139-K139),0)</f>
        <v/>
      </c>
      <c r="I139" s="55">
        <f>IFERROR(F139*$D$7,0)</f>
        <v/>
      </c>
      <c r="J139" s="44" t="n"/>
      <c r="K139" s="56">
        <f>IFERROR($H$5,0)</f>
        <v/>
      </c>
      <c r="L139" s="46" t="n"/>
      <c r="M139" s="44" t="n"/>
      <c r="N139" s="47">
        <f>IFERROR(N138+M139,N138)</f>
        <v/>
      </c>
      <c r="O139" s="48">
        <f>IF(M139="","⏳ PENDENTE",IF(M139&gt;=G139,"✅ PAGO","⚠️ PARCIAL"))</f>
        <v/>
      </c>
    </row>
    <row r="140" ht="19" customHeight="1">
      <c r="A140" s="5" t="n"/>
      <c r="B140" s="36" t="n">
        <v>127</v>
      </c>
      <c r="C140" s="37">
        <f>IFERROR(TEXT(EDATE(DATE(VALUE(RIGHT(D5,4)),MATCH(LEFT(D5,3),{"Jan","Fev","Mar","Abr","Mai","Jun","Jul","Ago","Set","Out","Nov","Dez"},0),1),126),"mmm/yyyy")</f>
        <v/>
      </c>
      <c r="D140" s="38">
        <f>IFERROR(EDATE(DATE(VALUE(RIGHT(D5,4)),MATCH(LEFT(D5,3),{"Jan","Fev","Mar","Abr","Mai","Jun","Jul","Ago","Set","Out","Nov","Dez"},0),5),126),"—")</f>
        <v/>
      </c>
      <c r="E140" s="39">
        <f>$H$4</f>
        <v/>
      </c>
      <c r="F140" s="40">
        <f>IFERROR(F139-H139-J139,0)</f>
        <v/>
      </c>
      <c r="G140" s="41">
        <f>IF($H$4="PRICE",$L$4,IF($H$4="SAC",$L$5,0))</f>
        <v/>
      </c>
      <c r="H140" s="42">
        <f>IFERROR(IF($H$4="SAC",$D$4/$D$6,G140-I140-K140),0)</f>
        <v/>
      </c>
      <c r="I140" s="43">
        <f>IFERROR(F140*$D$7,0)</f>
        <v/>
      </c>
      <c r="J140" s="44" t="n"/>
      <c r="K140" s="45">
        <f>IFERROR($H$5,0)</f>
        <v/>
      </c>
      <c r="L140" s="46" t="n"/>
      <c r="M140" s="44" t="n"/>
      <c r="N140" s="47">
        <f>IFERROR(N139+M140,N139)</f>
        <v/>
      </c>
      <c r="O140" s="48">
        <f>IF(M140="","⏳ PENDENTE",IF(M140&gt;=G140,"✅ PAGO","⚠️ PARCIAL"))</f>
        <v/>
      </c>
    </row>
    <row r="141" ht="19" customHeight="1">
      <c r="A141" s="1" t="n"/>
      <c r="B141" s="49" t="n">
        <v>128</v>
      </c>
      <c r="C141" s="50">
        <f>IFERROR(TEXT(EDATE(DATE(VALUE(RIGHT(D5,4)),MATCH(LEFT(D5,3),{"Jan","Fev","Mar","Abr","Mai","Jun","Jul","Ago","Set","Out","Nov","Dez"},0),1),127),"mmm/yyyy")</f>
        <v/>
      </c>
      <c r="D141" s="51">
        <f>IFERROR(EDATE(DATE(VALUE(RIGHT(D5,4)),MATCH(LEFT(D5,3),{"Jan","Fev","Mar","Abr","Mai","Jun","Jul","Ago","Set","Out","Nov","Dez"},0),5),127),"—")</f>
        <v/>
      </c>
      <c r="E141" s="39">
        <f>$H$4</f>
        <v/>
      </c>
      <c r="F141" s="52">
        <f>IFERROR(F140-H140-J140,0)</f>
        <v/>
      </c>
      <c r="G141" s="53">
        <f>IF($H$4="PRICE",$L$4,IF($H$4="SAC",$L$5,0))</f>
        <v/>
      </c>
      <c r="H141" s="54">
        <f>IFERROR(IF($H$4="SAC",$D$4/$D$6,G141-I141-K141),0)</f>
        <v/>
      </c>
      <c r="I141" s="55">
        <f>IFERROR(F141*$D$7,0)</f>
        <v/>
      </c>
      <c r="J141" s="44" t="n"/>
      <c r="K141" s="56">
        <f>IFERROR($H$5,0)</f>
        <v/>
      </c>
      <c r="L141" s="46" t="n"/>
      <c r="M141" s="44" t="n"/>
      <c r="N141" s="47">
        <f>IFERROR(N140+M141,N140)</f>
        <v/>
      </c>
      <c r="O141" s="48">
        <f>IF(M141="","⏳ PENDENTE",IF(M141&gt;=G141,"✅ PAGO","⚠️ PARCIAL"))</f>
        <v/>
      </c>
    </row>
    <row r="142" ht="19" customHeight="1">
      <c r="A142" s="5" t="n"/>
      <c r="B142" s="36" t="n">
        <v>129</v>
      </c>
      <c r="C142" s="37">
        <f>IFERROR(TEXT(EDATE(DATE(VALUE(RIGHT(D5,4)),MATCH(LEFT(D5,3),{"Jan","Fev","Mar","Abr","Mai","Jun","Jul","Ago","Set","Out","Nov","Dez"},0),1),128),"mmm/yyyy")</f>
        <v/>
      </c>
      <c r="D142" s="38">
        <f>IFERROR(EDATE(DATE(VALUE(RIGHT(D5,4)),MATCH(LEFT(D5,3),{"Jan","Fev","Mar","Abr","Mai","Jun","Jul","Ago","Set","Out","Nov","Dez"},0),5),128),"—")</f>
        <v/>
      </c>
      <c r="E142" s="39">
        <f>$H$4</f>
        <v/>
      </c>
      <c r="F142" s="40">
        <f>IFERROR(F141-H141-J141,0)</f>
        <v/>
      </c>
      <c r="G142" s="41">
        <f>IF($H$4="PRICE",$L$4,IF($H$4="SAC",$L$5,0))</f>
        <v/>
      </c>
      <c r="H142" s="42">
        <f>IFERROR(IF($H$4="SAC",$D$4/$D$6,G142-I142-K142),0)</f>
        <v/>
      </c>
      <c r="I142" s="43">
        <f>IFERROR(F142*$D$7,0)</f>
        <v/>
      </c>
      <c r="J142" s="44" t="n"/>
      <c r="K142" s="45">
        <f>IFERROR($H$5,0)</f>
        <v/>
      </c>
      <c r="L142" s="46" t="n"/>
      <c r="M142" s="44" t="n"/>
      <c r="N142" s="47">
        <f>IFERROR(N141+M142,N141)</f>
        <v/>
      </c>
      <c r="O142" s="48">
        <f>IF(M142="","⏳ PENDENTE",IF(M142&gt;=G142,"✅ PAGO","⚠️ PARCIAL"))</f>
        <v/>
      </c>
    </row>
    <row r="143" ht="19" customHeight="1">
      <c r="A143" s="1" t="n"/>
      <c r="B143" s="49" t="n">
        <v>130</v>
      </c>
      <c r="C143" s="50">
        <f>IFERROR(TEXT(EDATE(DATE(VALUE(RIGHT(D5,4)),MATCH(LEFT(D5,3),{"Jan","Fev","Mar","Abr","Mai","Jun","Jul","Ago","Set","Out","Nov","Dez"},0),1),129),"mmm/yyyy")</f>
        <v/>
      </c>
      <c r="D143" s="51">
        <f>IFERROR(EDATE(DATE(VALUE(RIGHT(D5,4)),MATCH(LEFT(D5,3),{"Jan","Fev","Mar","Abr","Mai","Jun","Jul","Ago","Set","Out","Nov","Dez"},0),5),129),"—")</f>
        <v/>
      </c>
      <c r="E143" s="39">
        <f>$H$4</f>
        <v/>
      </c>
      <c r="F143" s="52">
        <f>IFERROR(F142-H142-J142,0)</f>
        <v/>
      </c>
      <c r="G143" s="53">
        <f>IF($H$4="PRICE",$L$4,IF($H$4="SAC",$L$5,0))</f>
        <v/>
      </c>
      <c r="H143" s="54">
        <f>IFERROR(IF($H$4="SAC",$D$4/$D$6,G143-I143-K143),0)</f>
        <v/>
      </c>
      <c r="I143" s="55">
        <f>IFERROR(F143*$D$7,0)</f>
        <v/>
      </c>
      <c r="J143" s="44" t="n"/>
      <c r="K143" s="56">
        <f>IFERROR($H$5,0)</f>
        <v/>
      </c>
      <c r="L143" s="46" t="n"/>
      <c r="M143" s="44" t="n"/>
      <c r="N143" s="47">
        <f>IFERROR(N142+M143,N142)</f>
        <v/>
      </c>
      <c r="O143" s="48">
        <f>IF(M143="","⏳ PENDENTE",IF(M143&gt;=G143,"✅ PAGO","⚠️ PARCIAL"))</f>
        <v/>
      </c>
    </row>
    <row r="144" ht="19" customHeight="1">
      <c r="A144" s="5" t="n"/>
      <c r="B144" s="36" t="n">
        <v>131</v>
      </c>
      <c r="C144" s="37">
        <f>IFERROR(TEXT(EDATE(DATE(VALUE(RIGHT(D5,4)),MATCH(LEFT(D5,3),{"Jan","Fev","Mar","Abr","Mai","Jun","Jul","Ago","Set","Out","Nov","Dez"},0),1),130),"mmm/yyyy")</f>
        <v/>
      </c>
      <c r="D144" s="38">
        <f>IFERROR(EDATE(DATE(VALUE(RIGHT(D5,4)),MATCH(LEFT(D5,3),{"Jan","Fev","Mar","Abr","Mai","Jun","Jul","Ago","Set","Out","Nov","Dez"},0),5),130),"—")</f>
        <v/>
      </c>
      <c r="E144" s="39">
        <f>$H$4</f>
        <v/>
      </c>
      <c r="F144" s="40">
        <f>IFERROR(F143-H143-J143,0)</f>
        <v/>
      </c>
      <c r="G144" s="41">
        <f>IF($H$4="PRICE",$L$4,IF($H$4="SAC",$L$5,0))</f>
        <v/>
      </c>
      <c r="H144" s="42">
        <f>IFERROR(IF($H$4="SAC",$D$4/$D$6,G144-I144-K144),0)</f>
        <v/>
      </c>
      <c r="I144" s="43">
        <f>IFERROR(F144*$D$7,0)</f>
        <v/>
      </c>
      <c r="J144" s="44" t="n"/>
      <c r="K144" s="45">
        <f>IFERROR($H$5,0)</f>
        <v/>
      </c>
      <c r="L144" s="46" t="n"/>
      <c r="M144" s="44" t="n"/>
      <c r="N144" s="47">
        <f>IFERROR(N143+M144,N143)</f>
        <v/>
      </c>
      <c r="O144" s="48">
        <f>IF(M144="","⏳ PENDENTE",IF(M144&gt;=G144,"✅ PAGO","⚠️ PARCIAL"))</f>
        <v/>
      </c>
    </row>
    <row r="145" ht="19" customHeight="1">
      <c r="A145" s="1" t="n"/>
      <c r="B145" s="49" t="n">
        <v>132</v>
      </c>
      <c r="C145" s="50">
        <f>IFERROR(TEXT(EDATE(DATE(VALUE(RIGHT(D5,4)),MATCH(LEFT(D5,3),{"Jan","Fev","Mar","Abr","Mai","Jun","Jul","Ago","Set","Out","Nov","Dez"},0),1),131),"mmm/yyyy")</f>
        <v/>
      </c>
      <c r="D145" s="51">
        <f>IFERROR(EDATE(DATE(VALUE(RIGHT(D5,4)),MATCH(LEFT(D5,3),{"Jan","Fev","Mar","Abr","Mai","Jun","Jul","Ago","Set","Out","Nov","Dez"},0),5),131),"—")</f>
        <v/>
      </c>
      <c r="E145" s="39">
        <f>$H$4</f>
        <v/>
      </c>
      <c r="F145" s="52">
        <f>IFERROR(F144-H144-J144,0)</f>
        <v/>
      </c>
      <c r="G145" s="53">
        <f>IF($H$4="PRICE",$L$4,IF($H$4="SAC",$L$5,0))</f>
        <v/>
      </c>
      <c r="H145" s="54">
        <f>IFERROR(IF($H$4="SAC",$D$4/$D$6,G145-I145-K145),0)</f>
        <v/>
      </c>
      <c r="I145" s="55">
        <f>IFERROR(F145*$D$7,0)</f>
        <v/>
      </c>
      <c r="J145" s="44" t="n"/>
      <c r="K145" s="56">
        <f>IFERROR($H$5,0)</f>
        <v/>
      </c>
      <c r="L145" s="46" t="n"/>
      <c r="M145" s="44" t="n"/>
      <c r="N145" s="47">
        <f>IFERROR(N144+M145,N144)</f>
        <v/>
      </c>
      <c r="O145" s="48">
        <f>IF(M145="","⏳ PENDENTE",IF(M145&gt;=G145,"✅ PAGO","⚠️ PARCIAL"))</f>
        <v/>
      </c>
    </row>
    <row r="146" ht="19" customHeight="1">
      <c r="A146" s="5" t="n"/>
      <c r="B146" s="36" t="n">
        <v>133</v>
      </c>
      <c r="C146" s="37">
        <f>IFERROR(TEXT(EDATE(DATE(VALUE(RIGHT(D5,4)),MATCH(LEFT(D5,3),{"Jan","Fev","Mar","Abr","Mai","Jun","Jul","Ago","Set","Out","Nov","Dez"},0),1),132),"mmm/yyyy")</f>
        <v/>
      </c>
      <c r="D146" s="38">
        <f>IFERROR(EDATE(DATE(VALUE(RIGHT(D5,4)),MATCH(LEFT(D5,3),{"Jan","Fev","Mar","Abr","Mai","Jun","Jul","Ago","Set","Out","Nov","Dez"},0),5),132),"—")</f>
        <v/>
      </c>
      <c r="E146" s="39">
        <f>$H$4</f>
        <v/>
      </c>
      <c r="F146" s="40">
        <f>IFERROR(F145-H145-J145,0)</f>
        <v/>
      </c>
      <c r="G146" s="41">
        <f>IF($H$4="PRICE",$L$4,IF($H$4="SAC",$L$5,0))</f>
        <v/>
      </c>
      <c r="H146" s="42">
        <f>IFERROR(IF($H$4="SAC",$D$4/$D$6,G146-I146-K146),0)</f>
        <v/>
      </c>
      <c r="I146" s="43">
        <f>IFERROR(F146*$D$7,0)</f>
        <v/>
      </c>
      <c r="J146" s="44" t="n"/>
      <c r="K146" s="45">
        <f>IFERROR($H$5,0)</f>
        <v/>
      </c>
      <c r="L146" s="46" t="n"/>
      <c r="M146" s="44" t="n"/>
      <c r="N146" s="47">
        <f>IFERROR(N145+M146,N145)</f>
        <v/>
      </c>
      <c r="O146" s="48">
        <f>IF(M146="","⏳ PENDENTE",IF(M146&gt;=G146,"✅ PAGO","⚠️ PARCIAL"))</f>
        <v/>
      </c>
    </row>
    <row r="147" ht="19" customHeight="1">
      <c r="A147" s="1" t="n"/>
      <c r="B147" s="49" t="n">
        <v>134</v>
      </c>
      <c r="C147" s="50">
        <f>IFERROR(TEXT(EDATE(DATE(VALUE(RIGHT(D5,4)),MATCH(LEFT(D5,3),{"Jan","Fev","Mar","Abr","Mai","Jun","Jul","Ago","Set","Out","Nov","Dez"},0),1),133),"mmm/yyyy")</f>
        <v/>
      </c>
      <c r="D147" s="51">
        <f>IFERROR(EDATE(DATE(VALUE(RIGHT(D5,4)),MATCH(LEFT(D5,3),{"Jan","Fev","Mar","Abr","Mai","Jun","Jul","Ago","Set","Out","Nov","Dez"},0),5),133),"—")</f>
        <v/>
      </c>
      <c r="E147" s="39">
        <f>$H$4</f>
        <v/>
      </c>
      <c r="F147" s="52">
        <f>IFERROR(F146-H146-J146,0)</f>
        <v/>
      </c>
      <c r="G147" s="53">
        <f>IF($H$4="PRICE",$L$4,IF($H$4="SAC",$L$5,0))</f>
        <v/>
      </c>
      <c r="H147" s="54">
        <f>IFERROR(IF($H$4="SAC",$D$4/$D$6,G147-I147-K147),0)</f>
        <v/>
      </c>
      <c r="I147" s="55">
        <f>IFERROR(F147*$D$7,0)</f>
        <v/>
      </c>
      <c r="J147" s="44" t="n"/>
      <c r="K147" s="56">
        <f>IFERROR($H$5,0)</f>
        <v/>
      </c>
      <c r="L147" s="46" t="n"/>
      <c r="M147" s="44" t="n"/>
      <c r="N147" s="47">
        <f>IFERROR(N146+M147,N146)</f>
        <v/>
      </c>
      <c r="O147" s="48">
        <f>IF(M147="","⏳ PENDENTE",IF(M147&gt;=G147,"✅ PAGO","⚠️ PARCIAL"))</f>
        <v/>
      </c>
    </row>
    <row r="148" ht="19" customHeight="1">
      <c r="A148" s="5" t="n"/>
      <c r="B148" s="36" t="n">
        <v>135</v>
      </c>
      <c r="C148" s="37">
        <f>IFERROR(TEXT(EDATE(DATE(VALUE(RIGHT(D5,4)),MATCH(LEFT(D5,3),{"Jan","Fev","Mar","Abr","Mai","Jun","Jul","Ago","Set","Out","Nov","Dez"},0),1),134),"mmm/yyyy")</f>
        <v/>
      </c>
      <c r="D148" s="38">
        <f>IFERROR(EDATE(DATE(VALUE(RIGHT(D5,4)),MATCH(LEFT(D5,3),{"Jan","Fev","Mar","Abr","Mai","Jun","Jul","Ago","Set","Out","Nov","Dez"},0),5),134),"—")</f>
        <v/>
      </c>
      <c r="E148" s="39">
        <f>$H$4</f>
        <v/>
      </c>
      <c r="F148" s="40">
        <f>IFERROR(F147-H147-J147,0)</f>
        <v/>
      </c>
      <c r="G148" s="41">
        <f>IF($H$4="PRICE",$L$4,IF($H$4="SAC",$L$5,0))</f>
        <v/>
      </c>
      <c r="H148" s="42">
        <f>IFERROR(IF($H$4="SAC",$D$4/$D$6,G148-I148-K148),0)</f>
        <v/>
      </c>
      <c r="I148" s="43">
        <f>IFERROR(F148*$D$7,0)</f>
        <v/>
      </c>
      <c r="J148" s="44" t="n"/>
      <c r="K148" s="45">
        <f>IFERROR($H$5,0)</f>
        <v/>
      </c>
      <c r="L148" s="46" t="n"/>
      <c r="M148" s="44" t="n"/>
      <c r="N148" s="47">
        <f>IFERROR(N147+M148,N147)</f>
        <v/>
      </c>
      <c r="O148" s="48">
        <f>IF(M148="","⏳ PENDENTE",IF(M148&gt;=G148,"✅ PAGO","⚠️ PARCIAL"))</f>
        <v/>
      </c>
    </row>
    <row r="149" ht="19" customHeight="1">
      <c r="A149" s="1" t="n"/>
      <c r="B149" s="49" t="n">
        <v>136</v>
      </c>
      <c r="C149" s="50">
        <f>IFERROR(TEXT(EDATE(DATE(VALUE(RIGHT(D5,4)),MATCH(LEFT(D5,3),{"Jan","Fev","Mar","Abr","Mai","Jun","Jul","Ago","Set","Out","Nov","Dez"},0),1),135),"mmm/yyyy")</f>
        <v/>
      </c>
      <c r="D149" s="51">
        <f>IFERROR(EDATE(DATE(VALUE(RIGHT(D5,4)),MATCH(LEFT(D5,3),{"Jan","Fev","Mar","Abr","Mai","Jun","Jul","Ago","Set","Out","Nov","Dez"},0),5),135),"—")</f>
        <v/>
      </c>
      <c r="E149" s="39">
        <f>$H$4</f>
        <v/>
      </c>
      <c r="F149" s="52">
        <f>IFERROR(F148-H148-J148,0)</f>
        <v/>
      </c>
      <c r="G149" s="53">
        <f>IF($H$4="PRICE",$L$4,IF($H$4="SAC",$L$5,0))</f>
        <v/>
      </c>
      <c r="H149" s="54">
        <f>IFERROR(IF($H$4="SAC",$D$4/$D$6,G149-I149-K149),0)</f>
        <v/>
      </c>
      <c r="I149" s="55">
        <f>IFERROR(F149*$D$7,0)</f>
        <v/>
      </c>
      <c r="J149" s="44" t="n"/>
      <c r="K149" s="56">
        <f>IFERROR($H$5,0)</f>
        <v/>
      </c>
      <c r="L149" s="46" t="n"/>
      <c r="M149" s="44" t="n"/>
      <c r="N149" s="47">
        <f>IFERROR(N148+M149,N148)</f>
        <v/>
      </c>
      <c r="O149" s="48">
        <f>IF(M149="","⏳ PENDENTE",IF(M149&gt;=G149,"✅ PAGO","⚠️ PARCIAL"))</f>
        <v/>
      </c>
    </row>
    <row r="150" ht="19" customHeight="1">
      <c r="A150" s="5" t="n"/>
      <c r="B150" s="36" t="n">
        <v>137</v>
      </c>
      <c r="C150" s="37">
        <f>IFERROR(TEXT(EDATE(DATE(VALUE(RIGHT(D5,4)),MATCH(LEFT(D5,3),{"Jan","Fev","Mar","Abr","Mai","Jun","Jul","Ago","Set","Out","Nov","Dez"},0),1),136),"mmm/yyyy")</f>
        <v/>
      </c>
      <c r="D150" s="38">
        <f>IFERROR(EDATE(DATE(VALUE(RIGHT(D5,4)),MATCH(LEFT(D5,3),{"Jan","Fev","Mar","Abr","Mai","Jun","Jul","Ago","Set","Out","Nov","Dez"},0),5),136),"—")</f>
        <v/>
      </c>
      <c r="E150" s="39">
        <f>$H$4</f>
        <v/>
      </c>
      <c r="F150" s="40">
        <f>IFERROR(F149-H149-J149,0)</f>
        <v/>
      </c>
      <c r="G150" s="41">
        <f>IF($H$4="PRICE",$L$4,IF($H$4="SAC",$L$5,0))</f>
        <v/>
      </c>
      <c r="H150" s="42">
        <f>IFERROR(IF($H$4="SAC",$D$4/$D$6,G150-I150-K150),0)</f>
        <v/>
      </c>
      <c r="I150" s="43">
        <f>IFERROR(F150*$D$7,0)</f>
        <v/>
      </c>
      <c r="J150" s="44" t="n"/>
      <c r="K150" s="45">
        <f>IFERROR($H$5,0)</f>
        <v/>
      </c>
      <c r="L150" s="46" t="n"/>
      <c r="M150" s="44" t="n"/>
      <c r="N150" s="47">
        <f>IFERROR(N149+M150,N149)</f>
        <v/>
      </c>
      <c r="O150" s="48">
        <f>IF(M150="","⏳ PENDENTE",IF(M150&gt;=G150,"✅ PAGO","⚠️ PARCIAL"))</f>
        <v/>
      </c>
    </row>
    <row r="151" ht="19" customHeight="1">
      <c r="A151" s="1" t="n"/>
      <c r="B151" s="49" t="n">
        <v>138</v>
      </c>
      <c r="C151" s="50">
        <f>IFERROR(TEXT(EDATE(DATE(VALUE(RIGHT(D5,4)),MATCH(LEFT(D5,3),{"Jan","Fev","Mar","Abr","Mai","Jun","Jul","Ago","Set","Out","Nov","Dez"},0),1),137),"mmm/yyyy")</f>
        <v/>
      </c>
      <c r="D151" s="51">
        <f>IFERROR(EDATE(DATE(VALUE(RIGHT(D5,4)),MATCH(LEFT(D5,3),{"Jan","Fev","Mar","Abr","Mai","Jun","Jul","Ago","Set","Out","Nov","Dez"},0),5),137),"—")</f>
        <v/>
      </c>
      <c r="E151" s="39">
        <f>$H$4</f>
        <v/>
      </c>
      <c r="F151" s="52">
        <f>IFERROR(F150-H150-J150,0)</f>
        <v/>
      </c>
      <c r="G151" s="53">
        <f>IF($H$4="PRICE",$L$4,IF($H$4="SAC",$L$5,0))</f>
        <v/>
      </c>
      <c r="H151" s="54">
        <f>IFERROR(IF($H$4="SAC",$D$4/$D$6,G151-I151-K151),0)</f>
        <v/>
      </c>
      <c r="I151" s="55">
        <f>IFERROR(F151*$D$7,0)</f>
        <v/>
      </c>
      <c r="J151" s="44" t="n"/>
      <c r="K151" s="56">
        <f>IFERROR($H$5,0)</f>
        <v/>
      </c>
      <c r="L151" s="46" t="n"/>
      <c r="M151" s="44" t="n"/>
      <c r="N151" s="47">
        <f>IFERROR(N150+M151,N150)</f>
        <v/>
      </c>
      <c r="O151" s="48">
        <f>IF(M151="","⏳ PENDENTE",IF(M151&gt;=G151,"✅ PAGO","⚠️ PARCIAL"))</f>
        <v/>
      </c>
    </row>
    <row r="152" ht="19" customHeight="1">
      <c r="A152" s="5" t="n"/>
      <c r="B152" s="36" t="n">
        <v>139</v>
      </c>
      <c r="C152" s="37">
        <f>IFERROR(TEXT(EDATE(DATE(VALUE(RIGHT(D5,4)),MATCH(LEFT(D5,3),{"Jan","Fev","Mar","Abr","Mai","Jun","Jul","Ago","Set","Out","Nov","Dez"},0),1),138),"mmm/yyyy")</f>
        <v/>
      </c>
      <c r="D152" s="38">
        <f>IFERROR(EDATE(DATE(VALUE(RIGHT(D5,4)),MATCH(LEFT(D5,3),{"Jan","Fev","Mar","Abr","Mai","Jun","Jul","Ago","Set","Out","Nov","Dez"},0),5),138),"—")</f>
        <v/>
      </c>
      <c r="E152" s="39">
        <f>$H$4</f>
        <v/>
      </c>
      <c r="F152" s="40">
        <f>IFERROR(F151-H151-J151,0)</f>
        <v/>
      </c>
      <c r="G152" s="41">
        <f>IF($H$4="PRICE",$L$4,IF($H$4="SAC",$L$5,0))</f>
        <v/>
      </c>
      <c r="H152" s="42">
        <f>IFERROR(IF($H$4="SAC",$D$4/$D$6,G152-I152-K152),0)</f>
        <v/>
      </c>
      <c r="I152" s="43">
        <f>IFERROR(F152*$D$7,0)</f>
        <v/>
      </c>
      <c r="J152" s="44" t="n"/>
      <c r="K152" s="45">
        <f>IFERROR($H$5,0)</f>
        <v/>
      </c>
      <c r="L152" s="46" t="n"/>
      <c r="M152" s="44" t="n"/>
      <c r="N152" s="47">
        <f>IFERROR(N151+M152,N151)</f>
        <v/>
      </c>
      <c r="O152" s="48">
        <f>IF(M152="","⏳ PENDENTE",IF(M152&gt;=G152,"✅ PAGO","⚠️ PARCIAL"))</f>
        <v/>
      </c>
    </row>
    <row r="153" ht="19" customHeight="1">
      <c r="A153" s="1" t="n"/>
      <c r="B153" s="49" t="n">
        <v>140</v>
      </c>
      <c r="C153" s="50">
        <f>IFERROR(TEXT(EDATE(DATE(VALUE(RIGHT(D5,4)),MATCH(LEFT(D5,3),{"Jan","Fev","Mar","Abr","Mai","Jun","Jul","Ago","Set","Out","Nov","Dez"},0),1),139),"mmm/yyyy")</f>
        <v/>
      </c>
      <c r="D153" s="51">
        <f>IFERROR(EDATE(DATE(VALUE(RIGHT(D5,4)),MATCH(LEFT(D5,3),{"Jan","Fev","Mar","Abr","Mai","Jun","Jul","Ago","Set","Out","Nov","Dez"},0),5),139),"—")</f>
        <v/>
      </c>
      <c r="E153" s="39">
        <f>$H$4</f>
        <v/>
      </c>
      <c r="F153" s="52">
        <f>IFERROR(F152-H152-J152,0)</f>
        <v/>
      </c>
      <c r="G153" s="53">
        <f>IF($H$4="PRICE",$L$4,IF($H$4="SAC",$L$5,0))</f>
        <v/>
      </c>
      <c r="H153" s="54">
        <f>IFERROR(IF($H$4="SAC",$D$4/$D$6,G153-I153-K153),0)</f>
        <v/>
      </c>
      <c r="I153" s="55">
        <f>IFERROR(F153*$D$7,0)</f>
        <v/>
      </c>
      <c r="J153" s="44" t="n"/>
      <c r="K153" s="56">
        <f>IFERROR($H$5,0)</f>
        <v/>
      </c>
      <c r="L153" s="46" t="n"/>
      <c r="M153" s="44" t="n"/>
      <c r="N153" s="47">
        <f>IFERROR(N152+M153,N152)</f>
        <v/>
      </c>
      <c r="O153" s="48">
        <f>IF(M153="","⏳ PENDENTE",IF(M153&gt;=G153,"✅ PAGO","⚠️ PARCIAL"))</f>
        <v/>
      </c>
    </row>
    <row r="154" ht="19" customHeight="1">
      <c r="A154" s="5" t="n"/>
      <c r="B154" s="36" t="n">
        <v>141</v>
      </c>
      <c r="C154" s="37">
        <f>IFERROR(TEXT(EDATE(DATE(VALUE(RIGHT(D5,4)),MATCH(LEFT(D5,3),{"Jan","Fev","Mar","Abr","Mai","Jun","Jul","Ago","Set","Out","Nov","Dez"},0),1),140),"mmm/yyyy")</f>
        <v/>
      </c>
      <c r="D154" s="38">
        <f>IFERROR(EDATE(DATE(VALUE(RIGHT(D5,4)),MATCH(LEFT(D5,3),{"Jan","Fev","Mar","Abr","Mai","Jun","Jul","Ago","Set","Out","Nov","Dez"},0),5),140),"—")</f>
        <v/>
      </c>
      <c r="E154" s="39">
        <f>$H$4</f>
        <v/>
      </c>
      <c r="F154" s="40">
        <f>IFERROR(F153-H153-J153,0)</f>
        <v/>
      </c>
      <c r="G154" s="41">
        <f>IF($H$4="PRICE",$L$4,IF($H$4="SAC",$L$5,0))</f>
        <v/>
      </c>
      <c r="H154" s="42">
        <f>IFERROR(IF($H$4="SAC",$D$4/$D$6,G154-I154-K154),0)</f>
        <v/>
      </c>
      <c r="I154" s="43">
        <f>IFERROR(F154*$D$7,0)</f>
        <v/>
      </c>
      <c r="J154" s="44" t="n"/>
      <c r="K154" s="45">
        <f>IFERROR($H$5,0)</f>
        <v/>
      </c>
      <c r="L154" s="46" t="n"/>
      <c r="M154" s="44" t="n"/>
      <c r="N154" s="47">
        <f>IFERROR(N153+M154,N153)</f>
        <v/>
      </c>
      <c r="O154" s="48">
        <f>IF(M154="","⏳ PENDENTE",IF(M154&gt;=G154,"✅ PAGO","⚠️ PARCIAL"))</f>
        <v/>
      </c>
    </row>
    <row r="155" ht="19" customHeight="1">
      <c r="A155" s="1" t="n"/>
      <c r="B155" s="49" t="n">
        <v>142</v>
      </c>
      <c r="C155" s="50">
        <f>IFERROR(TEXT(EDATE(DATE(VALUE(RIGHT(D5,4)),MATCH(LEFT(D5,3),{"Jan","Fev","Mar","Abr","Mai","Jun","Jul","Ago","Set","Out","Nov","Dez"},0),1),141),"mmm/yyyy")</f>
        <v/>
      </c>
      <c r="D155" s="51">
        <f>IFERROR(EDATE(DATE(VALUE(RIGHT(D5,4)),MATCH(LEFT(D5,3),{"Jan","Fev","Mar","Abr","Mai","Jun","Jul","Ago","Set","Out","Nov","Dez"},0),5),141),"—")</f>
        <v/>
      </c>
      <c r="E155" s="39">
        <f>$H$4</f>
        <v/>
      </c>
      <c r="F155" s="52">
        <f>IFERROR(F154-H154-J154,0)</f>
        <v/>
      </c>
      <c r="G155" s="53">
        <f>IF($H$4="PRICE",$L$4,IF($H$4="SAC",$L$5,0))</f>
        <v/>
      </c>
      <c r="H155" s="54">
        <f>IFERROR(IF($H$4="SAC",$D$4/$D$6,G155-I155-K155),0)</f>
        <v/>
      </c>
      <c r="I155" s="55">
        <f>IFERROR(F155*$D$7,0)</f>
        <v/>
      </c>
      <c r="J155" s="44" t="n"/>
      <c r="K155" s="56">
        <f>IFERROR($H$5,0)</f>
        <v/>
      </c>
      <c r="L155" s="46" t="n"/>
      <c r="M155" s="44" t="n"/>
      <c r="N155" s="47">
        <f>IFERROR(N154+M155,N154)</f>
        <v/>
      </c>
      <c r="O155" s="48">
        <f>IF(M155="","⏳ PENDENTE",IF(M155&gt;=G155,"✅ PAGO","⚠️ PARCIAL"))</f>
        <v/>
      </c>
    </row>
    <row r="156" ht="19" customHeight="1">
      <c r="A156" s="5" t="n"/>
      <c r="B156" s="36" t="n">
        <v>143</v>
      </c>
      <c r="C156" s="37">
        <f>IFERROR(TEXT(EDATE(DATE(VALUE(RIGHT(D5,4)),MATCH(LEFT(D5,3),{"Jan","Fev","Mar","Abr","Mai","Jun","Jul","Ago","Set","Out","Nov","Dez"},0),1),142),"mmm/yyyy")</f>
        <v/>
      </c>
      <c r="D156" s="38">
        <f>IFERROR(EDATE(DATE(VALUE(RIGHT(D5,4)),MATCH(LEFT(D5,3),{"Jan","Fev","Mar","Abr","Mai","Jun","Jul","Ago","Set","Out","Nov","Dez"},0),5),142),"—")</f>
        <v/>
      </c>
      <c r="E156" s="39">
        <f>$H$4</f>
        <v/>
      </c>
      <c r="F156" s="40">
        <f>IFERROR(F155-H155-J155,0)</f>
        <v/>
      </c>
      <c r="G156" s="41">
        <f>IF($H$4="PRICE",$L$4,IF($H$4="SAC",$L$5,0))</f>
        <v/>
      </c>
      <c r="H156" s="42">
        <f>IFERROR(IF($H$4="SAC",$D$4/$D$6,G156-I156-K156),0)</f>
        <v/>
      </c>
      <c r="I156" s="43">
        <f>IFERROR(F156*$D$7,0)</f>
        <v/>
      </c>
      <c r="J156" s="44" t="n"/>
      <c r="K156" s="45">
        <f>IFERROR($H$5,0)</f>
        <v/>
      </c>
      <c r="L156" s="46" t="n"/>
      <c r="M156" s="44" t="n"/>
      <c r="N156" s="47">
        <f>IFERROR(N155+M156,N155)</f>
        <v/>
      </c>
      <c r="O156" s="48">
        <f>IF(M156="","⏳ PENDENTE",IF(M156&gt;=G156,"✅ PAGO","⚠️ PARCIAL"))</f>
        <v/>
      </c>
    </row>
    <row r="157" ht="19" customHeight="1">
      <c r="A157" s="1" t="n"/>
      <c r="B157" s="49" t="n">
        <v>144</v>
      </c>
      <c r="C157" s="50">
        <f>IFERROR(TEXT(EDATE(DATE(VALUE(RIGHT(D5,4)),MATCH(LEFT(D5,3),{"Jan","Fev","Mar","Abr","Mai","Jun","Jul","Ago","Set","Out","Nov","Dez"},0),1),143),"mmm/yyyy")</f>
        <v/>
      </c>
      <c r="D157" s="51">
        <f>IFERROR(EDATE(DATE(VALUE(RIGHT(D5,4)),MATCH(LEFT(D5,3),{"Jan","Fev","Mar","Abr","Mai","Jun","Jul","Ago","Set","Out","Nov","Dez"},0),5),143),"—")</f>
        <v/>
      </c>
      <c r="E157" s="39">
        <f>$H$4</f>
        <v/>
      </c>
      <c r="F157" s="52">
        <f>IFERROR(F156-H156-J156,0)</f>
        <v/>
      </c>
      <c r="G157" s="53">
        <f>IF($H$4="PRICE",$L$4,IF($H$4="SAC",$L$5,0))</f>
        <v/>
      </c>
      <c r="H157" s="54">
        <f>IFERROR(IF($H$4="SAC",$D$4/$D$6,G157-I157-K157),0)</f>
        <v/>
      </c>
      <c r="I157" s="55">
        <f>IFERROR(F157*$D$7,0)</f>
        <v/>
      </c>
      <c r="J157" s="44" t="n"/>
      <c r="K157" s="56">
        <f>IFERROR($H$5,0)</f>
        <v/>
      </c>
      <c r="L157" s="46" t="n"/>
      <c r="M157" s="44" t="n"/>
      <c r="N157" s="47">
        <f>IFERROR(N156+M157,N156)</f>
        <v/>
      </c>
      <c r="O157" s="48">
        <f>IF(M157="","⏳ PENDENTE",IF(M157&gt;=G157,"✅ PAGO","⚠️ PARCIAL"))</f>
        <v/>
      </c>
    </row>
    <row r="158" ht="19" customHeight="1">
      <c r="A158" s="5" t="n"/>
      <c r="B158" s="36" t="n">
        <v>145</v>
      </c>
      <c r="C158" s="37">
        <f>IFERROR(TEXT(EDATE(DATE(VALUE(RIGHT(D5,4)),MATCH(LEFT(D5,3),{"Jan","Fev","Mar","Abr","Mai","Jun","Jul","Ago","Set","Out","Nov","Dez"},0),1),144),"mmm/yyyy")</f>
        <v/>
      </c>
      <c r="D158" s="38">
        <f>IFERROR(EDATE(DATE(VALUE(RIGHT(D5,4)),MATCH(LEFT(D5,3),{"Jan","Fev","Mar","Abr","Mai","Jun","Jul","Ago","Set","Out","Nov","Dez"},0),5),144),"—")</f>
        <v/>
      </c>
      <c r="E158" s="39">
        <f>$H$4</f>
        <v/>
      </c>
      <c r="F158" s="40">
        <f>IFERROR(F157-H157-J157,0)</f>
        <v/>
      </c>
      <c r="G158" s="41">
        <f>IF($H$4="PRICE",$L$4,IF($H$4="SAC",$L$5,0))</f>
        <v/>
      </c>
      <c r="H158" s="42">
        <f>IFERROR(IF($H$4="SAC",$D$4/$D$6,G158-I158-K158),0)</f>
        <v/>
      </c>
      <c r="I158" s="43">
        <f>IFERROR(F158*$D$7,0)</f>
        <v/>
      </c>
      <c r="J158" s="44" t="n"/>
      <c r="K158" s="45">
        <f>IFERROR($H$5,0)</f>
        <v/>
      </c>
      <c r="L158" s="46" t="n"/>
      <c r="M158" s="44" t="n"/>
      <c r="N158" s="47">
        <f>IFERROR(N157+M158,N157)</f>
        <v/>
      </c>
      <c r="O158" s="48">
        <f>IF(M158="","⏳ PENDENTE",IF(M158&gt;=G158,"✅ PAGO","⚠️ PARCIAL"))</f>
        <v/>
      </c>
    </row>
    <row r="159" ht="19" customHeight="1">
      <c r="A159" s="1" t="n"/>
      <c r="B159" s="49" t="n">
        <v>146</v>
      </c>
      <c r="C159" s="50">
        <f>IFERROR(TEXT(EDATE(DATE(VALUE(RIGHT(D5,4)),MATCH(LEFT(D5,3),{"Jan","Fev","Mar","Abr","Mai","Jun","Jul","Ago","Set","Out","Nov","Dez"},0),1),145),"mmm/yyyy")</f>
        <v/>
      </c>
      <c r="D159" s="51">
        <f>IFERROR(EDATE(DATE(VALUE(RIGHT(D5,4)),MATCH(LEFT(D5,3),{"Jan","Fev","Mar","Abr","Mai","Jun","Jul","Ago","Set","Out","Nov","Dez"},0),5),145),"—")</f>
        <v/>
      </c>
      <c r="E159" s="39">
        <f>$H$4</f>
        <v/>
      </c>
      <c r="F159" s="52">
        <f>IFERROR(F158-H158-J158,0)</f>
        <v/>
      </c>
      <c r="G159" s="53">
        <f>IF($H$4="PRICE",$L$4,IF($H$4="SAC",$L$5,0))</f>
        <v/>
      </c>
      <c r="H159" s="54">
        <f>IFERROR(IF($H$4="SAC",$D$4/$D$6,G159-I159-K159),0)</f>
        <v/>
      </c>
      <c r="I159" s="55">
        <f>IFERROR(F159*$D$7,0)</f>
        <v/>
      </c>
      <c r="J159" s="44" t="n"/>
      <c r="K159" s="56">
        <f>IFERROR($H$5,0)</f>
        <v/>
      </c>
      <c r="L159" s="46" t="n"/>
      <c r="M159" s="44" t="n"/>
      <c r="N159" s="47">
        <f>IFERROR(N158+M159,N158)</f>
        <v/>
      </c>
      <c r="O159" s="48">
        <f>IF(M159="","⏳ PENDENTE",IF(M159&gt;=G159,"✅ PAGO","⚠️ PARCIAL"))</f>
        <v/>
      </c>
    </row>
    <row r="160" ht="19" customHeight="1">
      <c r="A160" s="5" t="n"/>
      <c r="B160" s="36" t="n">
        <v>147</v>
      </c>
      <c r="C160" s="37">
        <f>IFERROR(TEXT(EDATE(DATE(VALUE(RIGHT(D5,4)),MATCH(LEFT(D5,3),{"Jan","Fev","Mar","Abr","Mai","Jun","Jul","Ago","Set","Out","Nov","Dez"},0),1),146),"mmm/yyyy")</f>
        <v/>
      </c>
      <c r="D160" s="38">
        <f>IFERROR(EDATE(DATE(VALUE(RIGHT(D5,4)),MATCH(LEFT(D5,3),{"Jan","Fev","Mar","Abr","Mai","Jun","Jul","Ago","Set","Out","Nov","Dez"},0),5),146),"—")</f>
        <v/>
      </c>
      <c r="E160" s="39">
        <f>$H$4</f>
        <v/>
      </c>
      <c r="F160" s="40">
        <f>IFERROR(F159-H159-J159,0)</f>
        <v/>
      </c>
      <c r="G160" s="41">
        <f>IF($H$4="PRICE",$L$4,IF($H$4="SAC",$L$5,0))</f>
        <v/>
      </c>
      <c r="H160" s="42">
        <f>IFERROR(IF($H$4="SAC",$D$4/$D$6,G160-I160-K160),0)</f>
        <v/>
      </c>
      <c r="I160" s="43">
        <f>IFERROR(F160*$D$7,0)</f>
        <v/>
      </c>
      <c r="J160" s="44" t="n"/>
      <c r="K160" s="45">
        <f>IFERROR($H$5,0)</f>
        <v/>
      </c>
      <c r="L160" s="46" t="n"/>
      <c r="M160" s="44" t="n"/>
      <c r="N160" s="47">
        <f>IFERROR(N159+M160,N159)</f>
        <v/>
      </c>
      <c r="O160" s="48">
        <f>IF(M160="","⏳ PENDENTE",IF(M160&gt;=G160,"✅ PAGO","⚠️ PARCIAL"))</f>
        <v/>
      </c>
    </row>
    <row r="161" ht="19" customHeight="1">
      <c r="A161" s="1" t="n"/>
      <c r="B161" s="49" t="n">
        <v>148</v>
      </c>
      <c r="C161" s="50">
        <f>IFERROR(TEXT(EDATE(DATE(VALUE(RIGHT(D5,4)),MATCH(LEFT(D5,3),{"Jan","Fev","Mar","Abr","Mai","Jun","Jul","Ago","Set","Out","Nov","Dez"},0),1),147),"mmm/yyyy")</f>
        <v/>
      </c>
      <c r="D161" s="51">
        <f>IFERROR(EDATE(DATE(VALUE(RIGHT(D5,4)),MATCH(LEFT(D5,3),{"Jan","Fev","Mar","Abr","Mai","Jun","Jul","Ago","Set","Out","Nov","Dez"},0),5),147),"—")</f>
        <v/>
      </c>
      <c r="E161" s="39">
        <f>$H$4</f>
        <v/>
      </c>
      <c r="F161" s="52">
        <f>IFERROR(F160-H160-J160,0)</f>
        <v/>
      </c>
      <c r="G161" s="53">
        <f>IF($H$4="PRICE",$L$4,IF($H$4="SAC",$L$5,0))</f>
        <v/>
      </c>
      <c r="H161" s="54">
        <f>IFERROR(IF($H$4="SAC",$D$4/$D$6,G161-I161-K161),0)</f>
        <v/>
      </c>
      <c r="I161" s="55">
        <f>IFERROR(F161*$D$7,0)</f>
        <v/>
      </c>
      <c r="J161" s="44" t="n"/>
      <c r="K161" s="56">
        <f>IFERROR($H$5,0)</f>
        <v/>
      </c>
      <c r="L161" s="46" t="n"/>
      <c r="M161" s="44" t="n"/>
      <c r="N161" s="47">
        <f>IFERROR(N160+M161,N160)</f>
        <v/>
      </c>
      <c r="O161" s="48">
        <f>IF(M161="","⏳ PENDENTE",IF(M161&gt;=G161,"✅ PAGO","⚠️ PARCIAL"))</f>
        <v/>
      </c>
    </row>
    <row r="162" ht="19" customHeight="1">
      <c r="A162" s="5" t="n"/>
      <c r="B162" s="36" t="n">
        <v>149</v>
      </c>
      <c r="C162" s="37">
        <f>IFERROR(TEXT(EDATE(DATE(VALUE(RIGHT(D5,4)),MATCH(LEFT(D5,3),{"Jan","Fev","Mar","Abr","Mai","Jun","Jul","Ago","Set","Out","Nov","Dez"},0),1),148),"mmm/yyyy")</f>
        <v/>
      </c>
      <c r="D162" s="38">
        <f>IFERROR(EDATE(DATE(VALUE(RIGHT(D5,4)),MATCH(LEFT(D5,3),{"Jan","Fev","Mar","Abr","Mai","Jun","Jul","Ago","Set","Out","Nov","Dez"},0),5),148),"—")</f>
        <v/>
      </c>
      <c r="E162" s="39">
        <f>$H$4</f>
        <v/>
      </c>
      <c r="F162" s="40">
        <f>IFERROR(F161-H161-J161,0)</f>
        <v/>
      </c>
      <c r="G162" s="41">
        <f>IF($H$4="PRICE",$L$4,IF($H$4="SAC",$L$5,0))</f>
        <v/>
      </c>
      <c r="H162" s="42">
        <f>IFERROR(IF($H$4="SAC",$D$4/$D$6,G162-I162-K162),0)</f>
        <v/>
      </c>
      <c r="I162" s="43">
        <f>IFERROR(F162*$D$7,0)</f>
        <v/>
      </c>
      <c r="J162" s="44" t="n"/>
      <c r="K162" s="45">
        <f>IFERROR($H$5,0)</f>
        <v/>
      </c>
      <c r="L162" s="46" t="n"/>
      <c r="M162" s="44" t="n"/>
      <c r="N162" s="47">
        <f>IFERROR(N161+M162,N161)</f>
        <v/>
      </c>
      <c r="O162" s="48">
        <f>IF(M162="","⏳ PENDENTE",IF(M162&gt;=G162,"✅ PAGO","⚠️ PARCIAL"))</f>
        <v/>
      </c>
    </row>
    <row r="163" ht="19" customHeight="1">
      <c r="A163" s="1" t="n"/>
      <c r="B163" s="49" t="n">
        <v>150</v>
      </c>
      <c r="C163" s="50">
        <f>IFERROR(TEXT(EDATE(DATE(VALUE(RIGHT(D5,4)),MATCH(LEFT(D5,3),{"Jan","Fev","Mar","Abr","Mai","Jun","Jul","Ago","Set","Out","Nov","Dez"},0),1),149),"mmm/yyyy")</f>
        <v/>
      </c>
      <c r="D163" s="51">
        <f>IFERROR(EDATE(DATE(VALUE(RIGHT(D5,4)),MATCH(LEFT(D5,3),{"Jan","Fev","Mar","Abr","Mai","Jun","Jul","Ago","Set","Out","Nov","Dez"},0),5),149),"—")</f>
        <v/>
      </c>
      <c r="E163" s="39">
        <f>$H$4</f>
        <v/>
      </c>
      <c r="F163" s="52">
        <f>IFERROR(F162-H162-J162,0)</f>
        <v/>
      </c>
      <c r="G163" s="53">
        <f>IF($H$4="PRICE",$L$4,IF($H$4="SAC",$L$5,0))</f>
        <v/>
      </c>
      <c r="H163" s="54">
        <f>IFERROR(IF($H$4="SAC",$D$4/$D$6,G163-I163-K163),0)</f>
        <v/>
      </c>
      <c r="I163" s="55">
        <f>IFERROR(F163*$D$7,0)</f>
        <v/>
      </c>
      <c r="J163" s="44" t="n"/>
      <c r="K163" s="56">
        <f>IFERROR($H$5,0)</f>
        <v/>
      </c>
      <c r="L163" s="46" t="n"/>
      <c r="M163" s="44" t="n"/>
      <c r="N163" s="47">
        <f>IFERROR(N162+M163,N162)</f>
        <v/>
      </c>
      <c r="O163" s="48">
        <f>IF(M163="","⏳ PENDENTE",IF(M163&gt;=G163,"✅ PAGO","⚠️ PARCIAL"))</f>
        <v/>
      </c>
    </row>
    <row r="164" ht="19" customHeight="1">
      <c r="A164" s="5" t="n"/>
      <c r="B164" s="36" t="n">
        <v>151</v>
      </c>
      <c r="C164" s="37">
        <f>IFERROR(TEXT(EDATE(DATE(VALUE(RIGHT(D5,4)),MATCH(LEFT(D5,3),{"Jan","Fev","Mar","Abr","Mai","Jun","Jul","Ago","Set","Out","Nov","Dez"},0),1),150),"mmm/yyyy")</f>
        <v/>
      </c>
      <c r="D164" s="38">
        <f>IFERROR(EDATE(DATE(VALUE(RIGHT(D5,4)),MATCH(LEFT(D5,3),{"Jan","Fev","Mar","Abr","Mai","Jun","Jul","Ago","Set","Out","Nov","Dez"},0),5),150),"—")</f>
        <v/>
      </c>
      <c r="E164" s="39">
        <f>$H$4</f>
        <v/>
      </c>
      <c r="F164" s="40">
        <f>IFERROR(F163-H163-J163,0)</f>
        <v/>
      </c>
      <c r="G164" s="41">
        <f>IF($H$4="PRICE",$L$4,IF($H$4="SAC",$L$5,0))</f>
        <v/>
      </c>
      <c r="H164" s="42">
        <f>IFERROR(IF($H$4="SAC",$D$4/$D$6,G164-I164-K164),0)</f>
        <v/>
      </c>
      <c r="I164" s="43">
        <f>IFERROR(F164*$D$7,0)</f>
        <v/>
      </c>
      <c r="J164" s="44" t="n"/>
      <c r="K164" s="45">
        <f>IFERROR($H$5,0)</f>
        <v/>
      </c>
      <c r="L164" s="46" t="n"/>
      <c r="M164" s="44" t="n"/>
      <c r="N164" s="47">
        <f>IFERROR(N163+M164,N163)</f>
        <v/>
      </c>
      <c r="O164" s="48">
        <f>IF(M164="","⏳ PENDENTE",IF(M164&gt;=G164,"✅ PAGO","⚠️ PARCIAL"))</f>
        <v/>
      </c>
    </row>
    <row r="165" ht="19" customHeight="1">
      <c r="A165" s="1" t="n"/>
      <c r="B165" s="49" t="n">
        <v>152</v>
      </c>
      <c r="C165" s="50">
        <f>IFERROR(TEXT(EDATE(DATE(VALUE(RIGHT(D5,4)),MATCH(LEFT(D5,3),{"Jan","Fev","Mar","Abr","Mai","Jun","Jul","Ago","Set","Out","Nov","Dez"},0),1),151),"mmm/yyyy")</f>
        <v/>
      </c>
      <c r="D165" s="51">
        <f>IFERROR(EDATE(DATE(VALUE(RIGHT(D5,4)),MATCH(LEFT(D5,3),{"Jan","Fev","Mar","Abr","Mai","Jun","Jul","Ago","Set","Out","Nov","Dez"},0),5),151),"—")</f>
        <v/>
      </c>
      <c r="E165" s="39">
        <f>$H$4</f>
        <v/>
      </c>
      <c r="F165" s="52">
        <f>IFERROR(F164-H164-J164,0)</f>
        <v/>
      </c>
      <c r="G165" s="53">
        <f>IF($H$4="PRICE",$L$4,IF($H$4="SAC",$L$5,0))</f>
        <v/>
      </c>
      <c r="H165" s="54">
        <f>IFERROR(IF($H$4="SAC",$D$4/$D$6,G165-I165-K165),0)</f>
        <v/>
      </c>
      <c r="I165" s="55">
        <f>IFERROR(F165*$D$7,0)</f>
        <v/>
      </c>
      <c r="J165" s="44" t="n"/>
      <c r="K165" s="56">
        <f>IFERROR($H$5,0)</f>
        <v/>
      </c>
      <c r="L165" s="46" t="n"/>
      <c r="M165" s="44" t="n"/>
      <c r="N165" s="47">
        <f>IFERROR(N164+M165,N164)</f>
        <v/>
      </c>
      <c r="O165" s="48">
        <f>IF(M165="","⏳ PENDENTE",IF(M165&gt;=G165,"✅ PAGO","⚠️ PARCIAL"))</f>
        <v/>
      </c>
    </row>
    <row r="166" ht="19" customHeight="1">
      <c r="A166" s="5" t="n"/>
      <c r="B166" s="36" t="n">
        <v>153</v>
      </c>
      <c r="C166" s="37">
        <f>IFERROR(TEXT(EDATE(DATE(VALUE(RIGHT(D5,4)),MATCH(LEFT(D5,3),{"Jan","Fev","Mar","Abr","Mai","Jun","Jul","Ago","Set","Out","Nov","Dez"},0),1),152),"mmm/yyyy")</f>
        <v/>
      </c>
      <c r="D166" s="38">
        <f>IFERROR(EDATE(DATE(VALUE(RIGHT(D5,4)),MATCH(LEFT(D5,3),{"Jan","Fev","Mar","Abr","Mai","Jun","Jul","Ago","Set","Out","Nov","Dez"},0),5),152),"—")</f>
        <v/>
      </c>
      <c r="E166" s="39">
        <f>$H$4</f>
        <v/>
      </c>
      <c r="F166" s="40">
        <f>IFERROR(F165-H165-J165,0)</f>
        <v/>
      </c>
      <c r="G166" s="41">
        <f>IF($H$4="PRICE",$L$4,IF($H$4="SAC",$L$5,0))</f>
        <v/>
      </c>
      <c r="H166" s="42">
        <f>IFERROR(IF($H$4="SAC",$D$4/$D$6,G166-I166-K166),0)</f>
        <v/>
      </c>
      <c r="I166" s="43">
        <f>IFERROR(F166*$D$7,0)</f>
        <v/>
      </c>
      <c r="J166" s="44" t="n"/>
      <c r="K166" s="45">
        <f>IFERROR($H$5,0)</f>
        <v/>
      </c>
      <c r="L166" s="46" t="n"/>
      <c r="M166" s="44" t="n"/>
      <c r="N166" s="47">
        <f>IFERROR(N165+M166,N165)</f>
        <v/>
      </c>
      <c r="O166" s="48">
        <f>IF(M166="","⏳ PENDENTE",IF(M166&gt;=G166,"✅ PAGO","⚠️ PARCIAL"))</f>
        <v/>
      </c>
    </row>
    <row r="167" ht="19" customHeight="1">
      <c r="A167" s="1" t="n"/>
      <c r="B167" s="49" t="n">
        <v>154</v>
      </c>
      <c r="C167" s="50">
        <f>IFERROR(TEXT(EDATE(DATE(VALUE(RIGHT(D5,4)),MATCH(LEFT(D5,3),{"Jan","Fev","Mar","Abr","Mai","Jun","Jul","Ago","Set","Out","Nov","Dez"},0),1),153),"mmm/yyyy")</f>
        <v/>
      </c>
      <c r="D167" s="51">
        <f>IFERROR(EDATE(DATE(VALUE(RIGHT(D5,4)),MATCH(LEFT(D5,3),{"Jan","Fev","Mar","Abr","Mai","Jun","Jul","Ago","Set","Out","Nov","Dez"},0),5),153),"—")</f>
        <v/>
      </c>
      <c r="E167" s="39">
        <f>$H$4</f>
        <v/>
      </c>
      <c r="F167" s="52">
        <f>IFERROR(F166-H166-J166,0)</f>
        <v/>
      </c>
      <c r="G167" s="53">
        <f>IF($H$4="PRICE",$L$4,IF($H$4="SAC",$L$5,0))</f>
        <v/>
      </c>
      <c r="H167" s="54">
        <f>IFERROR(IF($H$4="SAC",$D$4/$D$6,G167-I167-K167),0)</f>
        <v/>
      </c>
      <c r="I167" s="55">
        <f>IFERROR(F167*$D$7,0)</f>
        <v/>
      </c>
      <c r="J167" s="44" t="n"/>
      <c r="K167" s="56">
        <f>IFERROR($H$5,0)</f>
        <v/>
      </c>
      <c r="L167" s="46" t="n"/>
      <c r="M167" s="44" t="n"/>
      <c r="N167" s="47">
        <f>IFERROR(N166+M167,N166)</f>
        <v/>
      </c>
      <c r="O167" s="48">
        <f>IF(M167="","⏳ PENDENTE",IF(M167&gt;=G167,"✅ PAGO","⚠️ PARCIAL"))</f>
        <v/>
      </c>
    </row>
    <row r="168" ht="19" customHeight="1">
      <c r="A168" s="5" t="n"/>
      <c r="B168" s="36" t="n">
        <v>155</v>
      </c>
      <c r="C168" s="37">
        <f>IFERROR(TEXT(EDATE(DATE(VALUE(RIGHT(D5,4)),MATCH(LEFT(D5,3),{"Jan","Fev","Mar","Abr","Mai","Jun","Jul","Ago","Set","Out","Nov","Dez"},0),1),154),"mmm/yyyy")</f>
        <v/>
      </c>
      <c r="D168" s="38">
        <f>IFERROR(EDATE(DATE(VALUE(RIGHT(D5,4)),MATCH(LEFT(D5,3),{"Jan","Fev","Mar","Abr","Mai","Jun","Jul","Ago","Set","Out","Nov","Dez"},0),5),154),"—")</f>
        <v/>
      </c>
      <c r="E168" s="39">
        <f>$H$4</f>
        <v/>
      </c>
      <c r="F168" s="40">
        <f>IFERROR(F167-H167-J167,0)</f>
        <v/>
      </c>
      <c r="G168" s="41">
        <f>IF($H$4="PRICE",$L$4,IF($H$4="SAC",$L$5,0))</f>
        <v/>
      </c>
      <c r="H168" s="42">
        <f>IFERROR(IF($H$4="SAC",$D$4/$D$6,G168-I168-K168),0)</f>
        <v/>
      </c>
      <c r="I168" s="43">
        <f>IFERROR(F168*$D$7,0)</f>
        <v/>
      </c>
      <c r="J168" s="44" t="n"/>
      <c r="K168" s="45">
        <f>IFERROR($H$5,0)</f>
        <v/>
      </c>
      <c r="L168" s="46" t="n"/>
      <c r="M168" s="44" t="n"/>
      <c r="N168" s="47">
        <f>IFERROR(N167+M168,N167)</f>
        <v/>
      </c>
      <c r="O168" s="48">
        <f>IF(M168="","⏳ PENDENTE",IF(M168&gt;=G168,"✅ PAGO","⚠️ PARCIAL"))</f>
        <v/>
      </c>
    </row>
    <row r="169" ht="19" customHeight="1">
      <c r="A169" s="1" t="n"/>
      <c r="B169" s="49" t="n">
        <v>156</v>
      </c>
      <c r="C169" s="50">
        <f>IFERROR(TEXT(EDATE(DATE(VALUE(RIGHT(D5,4)),MATCH(LEFT(D5,3),{"Jan","Fev","Mar","Abr","Mai","Jun","Jul","Ago","Set","Out","Nov","Dez"},0),1),155),"mmm/yyyy")</f>
        <v/>
      </c>
      <c r="D169" s="51">
        <f>IFERROR(EDATE(DATE(VALUE(RIGHT(D5,4)),MATCH(LEFT(D5,3),{"Jan","Fev","Mar","Abr","Mai","Jun","Jul","Ago","Set","Out","Nov","Dez"},0),5),155),"—")</f>
        <v/>
      </c>
      <c r="E169" s="39">
        <f>$H$4</f>
        <v/>
      </c>
      <c r="F169" s="52">
        <f>IFERROR(F168-H168-J168,0)</f>
        <v/>
      </c>
      <c r="G169" s="53">
        <f>IF($H$4="PRICE",$L$4,IF($H$4="SAC",$L$5,0))</f>
        <v/>
      </c>
      <c r="H169" s="54">
        <f>IFERROR(IF($H$4="SAC",$D$4/$D$6,G169-I169-K169),0)</f>
        <v/>
      </c>
      <c r="I169" s="55">
        <f>IFERROR(F169*$D$7,0)</f>
        <v/>
      </c>
      <c r="J169" s="44" t="n"/>
      <c r="K169" s="56">
        <f>IFERROR($H$5,0)</f>
        <v/>
      </c>
      <c r="L169" s="46" t="n"/>
      <c r="M169" s="44" t="n"/>
      <c r="N169" s="47">
        <f>IFERROR(N168+M169,N168)</f>
        <v/>
      </c>
      <c r="O169" s="48">
        <f>IF(M169="","⏳ PENDENTE",IF(M169&gt;=G169,"✅ PAGO","⚠️ PARCIAL"))</f>
        <v/>
      </c>
    </row>
    <row r="170" ht="19" customHeight="1">
      <c r="A170" s="5" t="n"/>
      <c r="B170" s="36" t="n">
        <v>157</v>
      </c>
      <c r="C170" s="37">
        <f>IFERROR(TEXT(EDATE(DATE(VALUE(RIGHT(D5,4)),MATCH(LEFT(D5,3),{"Jan","Fev","Mar","Abr","Mai","Jun","Jul","Ago","Set","Out","Nov","Dez"},0),1),156),"mmm/yyyy")</f>
        <v/>
      </c>
      <c r="D170" s="38">
        <f>IFERROR(EDATE(DATE(VALUE(RIGHT(D5,4)),MATCH(LEFT(D5,3),{"Jan","Fev","Mar","Abr","Mai","Jun","Jul","Ago","Set","Out","Nov","Dez"},0),5),156),"—")</f>
        <v/>
      </c>
      <c r="E170" s="39">
        <f>$H$4</f>
        <v/>
      </c>
      <c r="F170" s="40">
        <f>IFERROR(F169-H169-J169,0)</f>
        <v/>
      </c>
      <c r="G170" s="41">
        <f>IF($H$4="PRICE",$L$4,IF($H$4="SAC",$L$5,0))</f>
        <v/>
      </c>
      <c r="H170" s="42">
        <f>IFERROR(IF($H$4="SAC",$D$4/$D$6,G170-I170-K170),0)</f>
        <v/>
      </c>
      <c r="I170" s="43">
        <f>IFERROR(F170*$D$7,0)</f>
        <v/>
      </c>
      <c r="J170" s="44" t="n"/>
      <c r="K170" s="45">
        <f>IFERROR($H$5,0)</f>
        <v/>
      </c>
      <c r="L170" s="46" t="n"/>
      <c r="M170" s="44" t="n"/>
      <c r="N170" s="47">
        <f>IFERROR(N169+M170,N169)</f>
        <v/>
      </c>
      <c r="O170" s="48">
        <f>IF(M170="","⏳ PENDENTE",IF(M170&gt;=G170,"✅ PAGO","⚠️ PARCIAL"))</f>
        <v/>
      </c>
    </row>
    <row r="171" ht="19" customHeight="1">
      <c r="A171" s="1" t="n"/>
      <c r="B171" s="49" t="n">
        <v>158</v>
      </c>
      <c r="C171" s="50">
        <f>IFERROR(TEXT(EDATE(DATE(VALUE(RIGHT(D5,4)),MATCH(LEFT(D5,3),{"Jan","Fev","Mar","Abr","Mai","Jun","Jul","Ago","Set","Out","Nov","Dez"},0),1),157),"mmm/yyyy")</f>
        <v/>
      </c>
      <c r="D171" s="51">
        <f>IFERROR(EDATE(DATE(VALUE(RIGHT(D5,4)),MATCH(LEFT(D5,3),{"Jan","Fev","Mar","Abr","Mai","Jun","Jul","Ago","Set","Out","Nov","Dez"},0),5),157),"—")</f>
        <v/>
      </c>
      <c r="E171" s="39">
        <f>$H$4</f>
        <v/>
      </c>
      <c r="F171" s="52">
        <f>IFERROR(F170-H170-J170,0)</f>
        <v/>
      </c>
      <c r="G171" s="53">
        <f>IF($H$4="PRICE",$L$4,IF($H$4="SAC",$L$5,0))</f>
        <v/>
      </c>
      <c r="H171" s="54">
        <f>IFERROR(IF($H$4="SAC",$D$4/$D$6,G171-I171-K171),0)</f>
        <v/>
      </c>
      <c r="I171" s="55">
        <f>IFERROR(F171*$D$7,0)</f>
        <v/>
      </c>
      <c r="J171" s="44" t="n"/>
      <c r="K171" s="56">
        <f>IFERROR($H$5,0)</f>
        <v/>
      </c>
      <c r="L171" s="46" t="n"/>
      <c r="M171" s="44" t="n"/>
      <c r="N171" s="47">
        <f>IFERROR(N170+M171,N170)</f>
        <v/>
      </c>
      <c r="O171" s="48">
        <f>IF(M171="","⏳ PENDENTE",IF(M171&gt;=G171,"✅ PAGO","⚠️ PARCIAL"))</f>
        <v/>
      </c>
    </row>
    <row r="172" ht="19" customHeight="1">
      <c r="A172" s="5" t="n"/>
      <c r="B172" s="36" t="n">
        <v>159</v>
      </c>
      <c r="C172" s="37">
        <f>IFERROR(TEXT(EDATE(DATE(VALUE(RIGHT(D5,4)),MATCH(LEFT(D5,3),{"Jan","Fev","Mar","Abr","Mai","Jun","Jul","Ago","Set","Out","Nov","Dez"},0),1),158),"mmm/yyyy")</f>
        <v/>
      </c>
      <c r="D172" s="38">
        <f>IFERROR(EDATE(DATE(VALUE(RIGHT(D5,4)),MATCH(LEFT(D5,3),{"Jan","Fev","Mar","Abr","Mai","Jun","Jul","Ago","Set","Out","Nov","Dez"},0),5),158),"—")</f>
        <v/>
      </c>
      <c r="E172" s="39">
        <f>$H$4</f>
        <v/>
      </c>
      <c r="F172" s="40">
        <f>IFERROR(F171-H171-J171,0)</f>
        <v/>
      </c>
      <c r="G172" s="41">
        <f>IF($H$4="PRICE",$L$4,IF($H$4="SAC",$L$5,0))</f>
        <v/>
      </c>
      <c r="H172" s="42">
        <f>IFERROR(IF($H$4="SAC",$D$4/$D$6,G172-I172-K172),0)</f>
        <v/>
      </c>
      <c r="I172" s="43">
        <f>IFERROR(F172*$D$7,0)</f>
        <v/>
      </c>
      <c r="J172" s="44" t="n"/>
      <c r="K172" s="45">
        <f>IFERROR($H$5,0)</f>
        <v/>
      </c>
      <c r="L172" s="46" t="n"/>
      <c r="M172" s="44" t="n"/>
      <c r="N172" s="47">
        <f>IFERROR(N171+M172,N171)</f>
        <v/>
      </c>
      <c r="O172" s="48">
        <f>IF(M172="","⏳ PENDENTE",IF(M172&gt;=G172,"✅ PAGO","⚠️ PARCIAL"))</f>
        <v/>
      </c>
    </row>
    <row r="173" ht="19" customHeight="1">
      <c r="A173" s="1" t="n"/>
      <c r="B173" s="49" t="n">
        <v>160</v>
      </c>
      <c r="C173" s="50">
        <f>IFERROR(TEXT(EDATE(DATE(VALUE(RIGHT(D5,4)),MATCH(LEFT(D5,3),{"Jan","Fev","Mar","Abr","Mai","Jun","Jul","Ago","Set","Out","Nov","Dez"},0),1),159),"mmm/yyyy")</f>
        <v/>
      </c>
      <c r="D173" s="51">
        <f>IFERROR(EDATE(DATE(VALUE(RIGHT(D5,4)),MATCH(LEFT(D5,3),{"Jan","Fev","Mar","Abr","Mai","Jun","Jul","Ago","Set","Out","Nov","Dez"},0),5),159),"—")</f>
        <v/>
      </c>
      <c r="E173" s="39">
        <f>$H$4</f>
        <v/>
      </c>
      <c r="F173" s="52">
        <f>IFERROR(F172-H172-J172,0)</f>
        <v/>
      </c>
      <c r="G173" s="53">
        <f>IF($H$4="PRICE",$L$4,IF($H$4="SAC",$L$5,0))</f>
        <v/>
      </c>
      <c r="H173" s="54">
        <f>IFERROR(IF($H$4="SAC",$D$4/$D$6,G173-I173-K173),0)</f>
        <v/>
      </c>
      <c r="I173" s="55">
        <f>IFERROR(F173*$D$7,0)</f>
        <v/>
      </c>
      <c r="J173" s="44" t="n"/>
      <c r="K173" s="56">
        <f>IFERROR($H$5,0)</f>
        <v/>
      </c>
      <c r="L173" s="46" t="n"/>
      <c r="M173" s="44" t="n"/>
      <c r="N173" s="47">
        <f>IFERROR(N172+M173,N172)</f>
        <v/>
      </c>
      <c r="O173" s="48">
        <f>IF(M173="","⏳ PENDENTE",IF(M173&gt;=G173,"✅ PAGO","⚠️ PARCIAL"))</f>
        <v/>
      </c>
    </row>
    <row r="174" ht="19" customHeight="1">
      <c r="A174" s="5" t="n"/>
      <c r="B174" s="36" t="n">
        <v>161</v>
      </c>
      <c r="C174" s="37">
        <f>IFERROR(TEXT(EDATE(DATE(VALUE(RIGHT(D5,4)),MATCH(LEFT(D5,3),{"Jan","Fev","Mar","Abr","Mai","Jun","Jul","Ago","Set","Out","Nov","Dez"},0),1),160),"mmm/yyyy")</f>
        <v/>
      </c>
      <c r="D174" s="38">
        <f>IFERROR(EDATE(DATE(VALUE(RIGHT(D5,4)),MATCH(LEFT(D5,3),{"Jan","Fev","Mar","Abr","Mai","Jun","Jul","Ago","Set","Out","Nov","Dez"},0),5),160),"—")</f>
        <v/>
      </c>
      <c r="E174" s="39">
        <f>$H$4</f>
        <v/>
      </c>
      <c r="F174" s="40">
        <f>IFERROR(F173-H173-J173,0)</f>
        <v/>
      </c>
      <c r="G174" s="41">
        <f>IF($H$4="PRICE",$L$4,IF($H$4="SAC",$L$5,0))</f>
        <v/>
      </c>
      <c r="H174" s="42">
        <f>IFERROR(IF($H$4="SAC",$D$4/$D$6,G174-I174-K174),0)</f>
        <v/>
      </c>
      <c r="I174" s="43">
        <f>IFERROR(F174*$D$7,0)</f>
        <v/>
      </c>
      <c r="J174" s="44" t="n"/>
      <c r="K174" s="45">
        <f>IFERROR($H$5,0)</f>
        <v/>
      </c>
      <c r="L174" s="46" t="n"/>
      <c r="M174" s="44" t="n"/>
      <c r="N174" s="47">
        <f>IFERROR(N173+M174,N173)</f>
        <v/>
      </c>
      <c r="O174" s="48">
        <f>IF(M174="","⏳ PENDENTE",IF(M174&gt;=G174,"✅ PAGO","⚠️ PARCIAL"))</f>
        <v/>
      </c>
    </row>
    <row r="175" ht="19" customHeight="1">
      <c r="A175" s="1" t="n"/>
      <c r="B175" s="49" t="n">
        <v>162</v>
      </c>
      <c r="C175" s="50">
        <f>IFERROR(TEXT(EDATE(DATE(VALUE(RIGHT(D5,4)),MATCH(LEFT(D5,3),{"Jan","Fev","Mar","Abr","Mai","Jun","Jul","Ago","Set","Out","Nov","Dez"},0),1),161),"mmm/yyyy")</f>
        <v/>
      </c>
      <c r="D175" s="51">
        <f>IFERROR(EDATE(DATE(VALUE(RIGHT(D5,4)),MATCH(LEFT(D5,3),{"Jan","Fev","Mar","Abr","Mai","Jun","Jul","Ago","Set","Out","Nov","Dez"},0),5),161),"—")</f>
        <v/>
      </c>
      <c r="E175" s="39">
        <f>$H$4</f>
        <v/>
      </c>
      <c r="F175" s="52">
        <f>IFERROR(F174-H174-J174,0)</f>
        <v/>
      </c>
      <c r="G175" s="53">
        <f>IF($H$4="PRICE",$L$4,IF($H$4="SAC",$L$5,0))</f>
        <v/>
      </c>
      <c r="H175" s="54">
        <f>IFERROR(IF($H$4="SAC",$D$4/$D$6,G175-I175-K175),0)</f>
        <v/>
      </c>
      <c r="I175" s="55">
        <f>IFERROR(F175*$D$7,0)</f>
        <v/>
      </c>
      <c r="J175" s="44" t="n"/>
      <c r="K175" s="56">
        <f>IFERROR($H$5,0)</f>
        <v/>
      </c>
      <c r="L175" s="46" t="n"/>
      <c r="M175" s="44" t="n"/>
      <c r="N175" s="47">
        <f>IFERROR(N174+M175,N174)</f>
        <v/>
      </c>
      <c r="O175" s="48">
        <f>IF(M175="","⏳ PENDENTE",IF(M175&gt;=G175,"✅ PAGO","⚠️ PARCIAL"))</f>
        <v/>
      </c>
    </row>
    <row r="176" ht="19" customHeight="1">
      <c r="A176" s="5" t="n"/>
      <c r="B176" s="36" t="n">
        <v>163</v>
      </c>
      <c r="C176" s="37">
        <f>IFERROR(TEXT(EDATE(DATE(VALUE(RIGHT(D5,4)),MATCH(LEFT(D5,3),{"Jan","Fev","Mar","Abr","Mai","Jun","Jul","Ago","Set","Out","Nov","Dez"},0),1),162),"mmm/yyyy")</f>
        <v/>
      </c>
      <c r="D176" s="38">
        <f>IFERROR(EDATE(DATE(VALUE(RIGHT(D5,4)),MATCH(LEFT(D5,3),{"Jan","Fev","Mar","Abr","Mai","Jun","Jul","Ago","Set","Out","Nov","Dez"},0),5),162),"—")</f>
        <v/>
      </c>
      <c r="E176" s="39">
        <f>$H$4</f>
        <v/>
      </c>
      <c r="F176" s="40">
        <f>IFERROR(F175-H175-J175,0)</f>
        <v/>
      </c>
      <c r="G176" s="41">
        <f>IF($H$4="PRICE",$L$4,IF($H$4="SAC",$L$5,0))</f>
        <v/>
      </c>
      <c r="H176" s="42">
        <f>IFERROR(IF($H$4="SAC",$D$4/$D$6,G176-I176-K176),0)</f>
        <v/>
      </c>
      <c r="I176" s="43">
        <f>IFERROR(F176*$D$7,0)</f>
        <v/>
      </c>
      <c r="J176" s="44" t="n"/>
      <c r="K176" s="45">
        <f>IFERROR($H$5,0)</f>
        <v/>
      </c>
      <c r="L176" s="46" t="n"/>
      <c r="M176" s="44" t="n"/>
      <c r="N176" s="47">
        <f>IFERROR(N175+M176,N175)</f>
        <v/>
      </c>
      <c r="O176" s="48">
        <f>IF(M176="","⏳ PENDENTE",IF(M176&gt;=G176,"✅ PAGO","⚠️ PARCIAL"))</f>
        <v/>
      </c>
    </row>
    <row r="177" ht="19" customHeight="1">
      <c r="A177" s="1" t="n"/>
      <c r="B177" s="49" t="n">
        <v>164</v>
      </c>
      <c r="C177" s="50">
        <f>IFERROR(TEXT(EDATE(DATE(VALUE(RIGHT(D5,4)),MATCH(LEFT(D5,3),{"Jan","Fev","Mar","Abr","Mai","Jun","Jul","Ago","Set","Out","Nov","Dez"},0),1),163),"mmm/yyyy")</f>
        <v/>
      </c>
      <c r="D177" s="51">
        <f>IFERROR(EDATE(DATE(VALUE(RIGHT(D5,4)),MATCH(LEFT(D5,3),{"Jan","Fev","Mar","Abr","Mai","Jun","Jul","Ago","Set","Out","Nov","Dez"},0),5),163),"—")</f>
        <v/>
      </c>
      <c r="E177" s="39">
        <f>$H$4</f>
        <v/>
      </c>
      <c r="F177" s="52">
        <f>IFERROR(F176-H176-J176,0)</f>
        <v/>
      </c>
      <c r="G177" s="53">
        <f>IF($H$4="PRICE",$L$4,IF($H$4="SAC",$L$5,0))</f>
        <v/>
      </c>
      <c r="H177" s="54">
        <f>IFERROR(IF($H$4="SAC",$D$4/$D$6,G177-I177-K177),0)</f>
        <v/>
      </c>
      <c r="I177" s="55">
        <f>IFERROR(F177*$D$7,0)</f>
        <v/>
      </c>
      <c r="J177" s="44" t="n"/>
      <c r="K177" s="56">
        <f>IFERROR($H$5,0)</f>
        <v/>
      </c>
      <c r="L177" s="46" t="n"/>
      <c r="M177" s="44" t="n"/>
      <c r="N177" s="47">
        <f>IFERROR(N176+M177,N176)</f>
        <v/>
      </c>
      <c r="O177" s="48">
        <f>IF(M177="","⏳ PENDENTE",IF(M177&gt;=G177,"✅ PAGO","⚠️ PARCIAL"))</f>
        <v/>
      </c>
    </row>
    <row r="178" ht="19" customHeight="1">
      <c r="A178" s="5" t="n"/>
      <c r="B178" s="36" t="n">
        <v>165</v>
      </c>
      <c r="C178" s="37">
        <f>IFERROR(TEXT(EDATE(DATE(VALUE(RIGHT(D5,4)),MATCH(LEFT(D5,3),{"Jan","Fev","Mar","Abr","Mai","Jun","Jul","Ago","Set","Out","Nov","Dez"},0),1),164),"mmm/yyyy")</f>
        <v/>
      </c>
      <c r="D178" s="38">
        <f>IFERROR(EDATE(DATE(VALUE(RIGHT(D5,4)),MATCH(LEFT(D5,3),{"Jan","Fev","Mar","Abr","Mai","Jun","Jul","Ago","Set","Out","Nov","Dez"},0),5),164),"—")</f>
        <v/>
      </c>
      <c r="E178" s="39">
        <f>$H$4</f>
        <v/>
      </c>
      <c r="F178" s="40">
        <f>IFERROR(F177-H177-J177,0)</f>
        <v/>
      </c>
      <c r="G178" s="41">
        <f>IF($H$4="PRICE",$L$4,IF($H$4="SAC",$L$5,0))</f>
        <v/>
      </c>
      <c r="H178" s="42">
        <f>IFERROR(IF($H$4="SAC",$D$4/$D$6,G178-I178-K178),0)</f>
        <v/>
      </c>
      <c r="I178" s="43">
        <f>IFERROR(F178*$D$7,0)</f>
        <v/>
      </c>
      <c r="J178" s="44" t="n"/>
      <c r="K178" s="45">
        <f>IFERROR($H$5,0)</f>
        <v/>
      </c>
      <c r="L178" s="46" t="n"/>
      <c r="M178" s="44" t="n"/>
      <c r="N178" s="47">
        <f>IFERROR(N177+M178,N177)</f>
        <v/>
      </c>
      <c r="O178" s="48">
        <f>IF(M178="","⏳ PENDENTE",IF(M178&gt;=G178,"✅ PAGO","⚠️ PARCIAL"))</f>
        <v/>
      </c>
    </row>
    <row r="179" ht="19" customHeight="1">
      <c r="A179" s="1" t="n"/>
      <c r="B179" s="49" t="n">
        <v>166</v>
      </c>
      <c r="C179" s="50">
        <f>IFERROR(TEXT(EDATE(DATE(VALUE(RIGHT(D5,4)),MATCH(LEFT(D5,3),{"Jan","Fev","Mar","Abr","Mai","Jun","Jul","Ago","Set","Out","Nov","Dez"},0),1),165),"mmm/yyyy")</f>
        <v/>
      </c>
      <c r="D179" s="51">
        <f>IFERROR(EDATE(DATE(VALUE(RIGHT(D5,4)),MATCH(LEFT(D5,3),{"Jan","Fev","Mar","Abr","Mai","Jun","Jul","Ago","Set","Out","Nov","Dez"},0),5),165),"—")</f>
        <v/>
      </c>
      <c r="E179" s="39">
        <f>$H$4</f>
        <v/>
      </c>
      <c r="F179" s="52">
        <f>IFERROR(F178-H178-J178,0)</f>
        <v/>
      </c>
      <c r="G179" s="53">
        <f>IF($H$4="PRICE",$L$4,IF($H$4="SAC",$L$5,0))</f>
        <v/>
      </c>
      <c r="H179" s="54">
        <f>IFERROR(IF($H$4="SAC",$D$4/$D$6,G179-I179-K179),0)</f>
        <v/>
      </c>
      <c r="I179" s="55">
        <f>IFERROR(F179*$D$7,0)</f>
        <v/>
      </c>
      <c r="J179" s="44" t="n"/>
      <c r="K179" s="56">
        <f>IFERROR($H$5,0)</f>
        <v/>
      </c>
      <c r="L179" s="46" t="n"/>
      <c r="M179" s="44" t="n"/>
      <c r="N179" s="47">
        <f>IFERROR(N178+M179,N178)</f>
        <v/>
      </c>
      <c r="O179" s="48">
        <f>IF(M179="","⏳ PENDENTE",IF(M179&gt;=G179,"✅ PAGO","⚠️ PARCIAL"))</f>
        <v/>
      </c>
    </row>
    <row r="180" ht="19" customHeight="1">
      <c r="A180" s="5" t="n"/>
      <c r="B180" s="36" t="n">
        <v>167</v>
      </c>
      <c r="C180" s="37">
        <f>IFERROR(TEXT(EDATE(DATE(VALUE(RIGHT(D5,4)),MATCH(LEFT(D5,3),{"Jan","Fev","Mar","Abr","Mai","Jun","Jul","Ago","Set","Out","Nov","Dez"},0),1),166),"mmm/yyyy")</f>
        <v/>
      </c>
      <c r="D180" s="38">
        <f>IFERROR(EDATE(DATE(VALUE(RIGHT(D5,4)),MATCH(LEFT(D5,3),{"Jan","Fev","Mar","Abr","Mai","Jun","Jul","Ago","Set","Out","Nov","Dez"},0),5),166),"—")</f>
        <v/>
      </c>
      <c r="E180" s="39">
        <f>$H$4</f>
        <v/>
      </c>
      <c r="F180" s="40">
        <f>IFERROR(F179-H179-J179,0)</f>
        <v/>
      </c>
      <c r="G180" s="41">
        <f>IF($H$4="PRICE",$L$4,IF($H$4="SAC",$L$5,0))</f>
        <v/>
      </c>
      <c r="H180" s="42">
        <f>IFERROR(IF($H$4="SAC",$D$4/$D$6,G180-I180-K180),0)</f>
        <v/>
      </c>
      <c r="I180" s="43">
        <f>IFERROR(F180*$D$7,0)</f>
        <v/>
      </c>
      <c r="J180" s="44" t="n"/>
      <c r="K180" s="45">
        <f>IFERROR($H$5,0)</f>
        <v/>
      </c>
      <c r="L180" s="46" t="n"/>
      <c r="M180" s="44" t="n"/>
      <c r="N180" s="47">
        <f>IFERROR(N179+M180,N179)</f>
        <v/>
      </c>
      <c r="O180" s="48">
        <f>IF(M180="","⏳ PENDENTE",IF(M180&gt;=G180,"✅ PAGO","⚠️ PARCIAL"))</f>
        <v/>
      </c>
    </row>
    <row r="181" ht="19" customHeight="1">
      <c r="A181" s="1" t="n"/>
      <c r="B181" s="49" t="n">
        <v>168</v>
      </c>
      <c r="C181" s="50">
        <f>IFERROR(TEXT(EDATE(DATE(VALUE(RIGHT(D5,4)),MATCH(LEFT(D5,3),{"Jan","Fev","Mar","Abr","Mai","Jun","Jul","Ago","Set","Out","Nov","Dez"},0),1),167),"mmm/yyyy")</f>
        <v/>
      </c>
      <c r="D181" s="51">
        <f>IFERROR(EDATE(DATE(VALUE(RIGHT(D5,4)),MATCH(LEFT(D5,3),{"Jan","Fev","Mar","Abr","Mai","Jun","Jul","Ago","Set","Out","Nov","Dez"},0),5),167),"—")</f>
        <v/>
      </c>
      <c r="E181" s="39">
        <f>$H$4</f>
        <v/>
      </c>
      <c r="F181" s="52">
        <f>IFERROR(F180-H180-J180,0)</f>
        <v/>
      </c>
      <c r="G181" s="53">
        <f>IF($H$4="PRICE",$L$4,IF($H$4="SAC",$L$5,0))</f>
        <v/>
      </c>
      <c r="H181" s="54">
        <f>IFERROR(IF($H$4="SAC",$D$4/$D$6,G181-I181-K181),0)</f>
        <v/>
      </c>
      <c r="I181" s="55">
        <f>IFERROR(F181*$D$7,0)</f>
        <v/>
      </c>
      <c r="J181" s="44" t="n"/>
      <c r="K181" s="56">
        <f>IFERROR($H$5,0)</f>
        <v/>
      </c>
      <c r="L181" s="46" t="n"/>
      <c r="M181" s="44" t="n"/>
      <c r="N181" s="47">
        <f>IFERROR(N180+M181,N180)</f>
        <v/>
      </c>
      <c r="O181" s="48">
        <f>IF(M181="","⏳ PENDENTE",IF(M181&gt;=G181,"✅ PAGO","⚠️ PARCIAL"))</f>
        <v/>
      </c>
    </row>
    <row r="182" ht="19" customHeight="1">
      <c r="A182" s="5" t="n"/>
      <c r="B182" s="36" t="n">
        <v>169</v>
      </c>
      <c r="C182" s="37">
        <f>IFERROR(TEXT(EDATE(DATE(VALUE(RIGHT(D5,4)),MATCH(LEFT(D5,3),{"Jan","Fev","Mar","Abr","Mai","Jun","Jul","Ago","Set","Out","Nov","Dez"},0),1),168),"mmm/yyyy")</f>
        <v/>
      </c>
      <c r="D182" s="38">
        <f>IFERROR(EDATE(DATE(VALUE(RIGHT(D5,4)),MATCH(LEFT(D5,3),{"Jan","Fev","Mar","Abr","Mai","Jun","Jul","Ago","Set","Out","Nov","Dez"},0),5),168),"—")</f>
        <v/>
      </c>
      <c r="E182" s="39">
        <f>$H$4</f>
        <v/>
      </c>
      <c r="F182" s="40">
        <f>IFERROR(F181-H181-J181,0)</f>
        <v/>
      </c>
      <c r="G182" s="41">
        <f>IF($H$4="PRICE",$L$4,IF($H$4="SAC",$L$5,0))</f>
        <v/>
      </c>
      <c r="H182" s="42">
        <f>IFERROR(IF($H$4="SAC",$D$4/$D$6,G182-I182-K182),0)</f>
        <v/>
      </c>
      <c r="I182" s="43">
        <f>IFERROR(F182*$D$7,0)</f>
        <v/>
      </c>
      <c r="J182" s="44" t="n"/>
      <c r="K182" s="45">
        <f>IFERROR($H$5,0)</f>
        <v/>
      </c>
      <c r="L182" s="46" t="n"/>
      <c r="M182" s="44" t="n"/>
      <c r="N182" s="47">
        <f>IFERROR(N181+M182,N181)</f>
        <v/>
      </c>
      <c r="O182" s="48">
        <f>IF(M182="","⏳ PENDENTE",IF(M182&gt;=G182,"✅ PAGO","⚠️ PARCIAL"))</f>
        <v/>
      </c>
    </row>
    <row r="183" ht="19" customHeight="1">
      <c r="A183" s="1" t="n"/>
      <c r="B183" s="49" t="n">
        <v>170</v>
      </c>
      <c r="C183" s="50">
        <f>IFERROR(TEXT(EDATE(DATE(VALUE(RIGHT(D5,4)),MATCH(LEFT(D5,3),{"Jan","Fev","Mar","Abr","Mai","Jun","Jul","Ago","Set","Out","Nov","Dez"},0),1),169),"mmm/yyyy")</f>
        <v/>
      </c>
      <c r="D183" s="51">
        <f>IFERROR(EDATE(DATE(VALUE(RIGHT(D5,4)),MATCH(LEFT(D5,3),{"Jan","Fev","Mar","Abr","Mai","Jun","Jul","Ago","Set","Out","Nov","Dez"},0),5),169),"—")</f>
        <v/>
      </c>
      <c r="E183" s="39">
        <f>$H$4</f>
        <v/>
      </c>
      <c r="F183" s="52">
        <f>IFERROR(F182-H182-J182,0)</f>
        <v/>
      </c>
      <c r="G183" s="53">
        <f>IF($H$4="PRICE",$L$4,IF($H$4="SAC",$L$5,0))</f>
        <v/>
      </c>
      <c r="H183" s="54">
        <f>IFERROR(IF($H$4="SAC",$D$4/$D$6,G183-I183-K183),0)</f>
        <v/>
      </c>
      <c r="I183" s="55">
        <f>IFERROR(F183*$D$7,0)</f>
        <v/>
      </c>
      <c r="J183" s="44" t="n"/>
      <c r="K183" s="56">
        <f>IFERROR($H$5,0)</f>
        <v/>
      </c>
      <c r="L183" s="46" t="n"/>
      <c r="M183" s="44" t="n"/>
      <c r="N183" s="47">
        <f>IFERROR(N182+M183,N182)</f>
        <v/>
      </c>
      <c r="O183" s="48">
        <f>IF(M183="","⏳ PENDENTE",IF(M183&gt;=G183,"✅ PAGO","⚠️ PARCIAL"))</f>
        <v/>
      </c>
    </row>
    <row r="184" ht="19" customHeight="1">
      <c r="A184" s="5" t="n"/>
      <c r="B184" s="36" t="n">
        <v>171</v>
      </c>
      <c r="C184" s="37">
        <f>IFERROR(TEXT(EDATE(DATE(VALUE(RIGHT(D5,4)),MATCH(LEFT(D5,3),{"Jan","Fev","Mar","Abr","Mai","Jun","Jul","Ago","Set","Out","Nov","Dez"},0),1),170),"mmm/yyyy")</f>
        <v/>
      </c>
      <c r="D184" s="38">
        <f>IFERROR(EDATE(DATE(VALUE(RIGHT(D5,4)),MATCH(LEFT(D5,3),{"Jan","Fev","Mar","Abr","Mai","Jun","Jul","Ago","Set","Out","Nov","Dez"},0),5),170),"—")</f>
        <v/>
      </c>
      <c r="E184" s="39">
        <f>$H$4</f>
        <v/>
      </c>
      <c r="F184" s="40">
        <f>IFERROR(F183-H183-J183,0)</f>
        <v/>
      </c>
      <c r="G184" s="41">
        <f>IF($H$4="PRICE",$L$4,IF($H$4="SAC",$L$5,0))</f>
        <v/>
      </c>
      <c r="H184" s="42">
        <f>IFERROR(IF($H$4="SAC",$D$4/$D$6,G184-I184-K184),0)</f>
        <v/>
      </c>
      <c r="I184" s="43">
        <f>IFERROR(F184*$D$7,0)</f>
        <v/>
      </c>
      <c r="J184" s="44" t="n"/>
      <c r="K184" s="45">
        <f>IFERROR($H$5,0)</f>
        <v/>
      </c>
      <c r="L184" s="46" t="n"/>
      <c r="M184" s="44" t="n"/>
      <c r="N184" s="47">
        <f>IFERROR(N183+M184,N183)</f>
        <v/>
      </c>
      <c r="O184" s="48">
        <f>IF(M184="","⏳ PENDENTE",IF(M184&gt;=G184,"✅ PAGO","⚠️ PARCIAL"))</f>
        <v/>
      </c>
    </row>
    <row r="185" ht="19" customHeight="1">
      <c r="A185" s="1" t="n"/>
      <c r="B185" s="49" t="n">
        <v>172</v>
      </c>
      <c r="C185" s="50">
        <f>IFERROR(TEXT(EDATE(DATE(VALUE(RIGHT(D5,4)),MATCH(LEFT(D5,3),{"Jan","Fev","Mar","Abr","Mai","Jun","Jul","Ago","Set","Out","Nov","Dez"},0),1),171),"mmm/yyyy")</f>
        <v/>
      </c>
      <c r="D185" s="51">
        <f>IFERROR(EDATE(DATE(VALUE(RIGHT(D5,4)),MATCH(LEFT(D5,3),{"Jan","Fev","Mar","Abr","Mai","Jun","Jul","Ago","Set","Out","Nov","Dez"},0),5),171),"—")</f>
        <v/>
      </c>
      <c r="E185" s="39">
        <f>$H$4</f>
        <v/>
      </c>
      <c r="F185" s="52">
        <f>IFERROR(F184-H184-J184,0)</f>
        <v/>
      </c>
      <c r="G185" s="53">
        <f>IF($H$4="PRICE",$L$4,IF($H$4="SAC",$L$5,0))</f>
        <v/>
      </c>
      <c r="H185" s="54">
        <f>IFERROR(IF($H$4="SAC",$D$4/$D$6,G185-I185-K185),0)</f>
        <v/>
      </c>
      <c r="I185" s="55">
        <f>IFERROR(F185*$D$7,0)</f>
        <v/>
      </c>
      <c r="J185" s="44" t="n"/>
      <c r="K185" s="56">
        <f>IFERROR($H$5,0)</f>
        <v/>
      </c>
      <c r="L185" s="46" t="n"/>
      <c r="M185" s="44" t="n"/>
      <c r="N185" s="47">
        <f>IFERROR(N184+M185,N184)</f>
        <v/>
      </c>
      <c r="O185" s="48">
        <f>IF(M185="","⏳ PENDENTE",IF(M185&gt;=G185,"✅ PAGO","⚠️ PARCIAL"))</f>
        <v/>
      </c>
    </row>
    <row r="186" ht="19" customHeight="1">
      <c r="A186" s="5" t="n"/>
      <c r="B186" s="36" t="n">
        <v>173</v>
      </c>
      <c r="C186" s="37">
        <f>IFERROR(TEXT(EDATE(DATE(VALUE(RIGHT(D5,4)),MATCH(LEFT(D5,3),{"Jan","Fev","Mar","Abr","Mai","Jun","Jul","Ago","Set","Out","Nov","Dez"},0),1),172),"mmm/yyyy")</f>
        <v/>
      </c>
      <c r="D186" s="38">
        <f>IFERROR(EDATE(DATE(VALUE(RIGHT(D5,4)),MATCH(LEFT(D5,3),{"Jan","Fev","Mar","Abr","Mai","Jun","Jul","Ago","Set","Out","Nov","Dez"},0),5),172),"—")</f>
        <v/>
      </c>
      <c r="E186" s="39">
        <f>$H$4</f>
        <v/>
      </c>
      <c r="F186" s="40">
        <f>IFERROR(F185-H185-J185,0)</f>
        <v/>
      </c>
      <c r="G186" s="41">
        <f>IF($H$4="PRICE",$L$4,IF($H$4="SAC",$L$5,0))</f>
        <v/>
      </c>
      <c r="H186" s="42">
        <f>IFERROR(IF($H$4="SAC",$D$4/$D$6,G186-I186-K186),0)</f>
        <v/>
      </c>
      <c r="I186" s="43">
        <f>IFERROR(F186*$D$7,0)</f>
        <v/>
      </c>
      <c r="J186" s="44" t="n"/>
      <c r="K186" s="45">
        <f>IFERROR($H$5,0)</f>
        <v/>
      </c>
      <c r="L186" s="46" t="n"/>
      <c r="M186" s="44" t="n"/>
      <c r="N186" s="47">
        <f>IFERROR(N185+M186,N185)</f>
        <v/>
      </c>
      <c r="O186" s="48">
        <f>IF(M186="","⏳ PENDENTE",IF(M186&gt;=G186,"✅ PAGO","⚠️ PARCIAL"))</f>
        <v/>
      </c>
    </row>
    <row r="187" ht="19" customHeight="1">
      <c r="A187" s="1" t="n"/>
      <c r="B187" s="49" t="n">
        <v>174</v>
      </c>
      <c r="C187" s="50">
        <f>IFERROR(TEXT(EDATE(DATE(VALUE(RIGHT(D5,4)),MATCH(LEFT(D5,3),{"Jan","Fev","Mar","Abr","Mai","Jun","Jul","Ago","Set","Out","Nov","Dez"},0),1),173),"mmm/yyyy")</f>
        <v/>
      </c>
      <c r="D187" s="51">
        <f>IFERROR(EDATE(DATE(VALUE(RIGHT(D5,4)),MATCH(LEFT(D5,3),{"Jan","Fev","Mar","Abr","Mai","Jun","Jul","Ago","Set","Out","Nov","Dez"},0),5),173),"—")</f>
        <v/>
      </c>
      <c r="E187" s="39">
        <f>$H$4</f>
        <v/>
      </c>
      <c r="F187" s="52">
        <f>IFERROR(F186-H186-J186,0)</f>
        <v/>
      </c>
      <c r="G187" s="53">
        <f>IF($H$4="PRICE",$L$4,IF($H$4="SAC",$L$5,0))</f>
        <v/>
      </c>
      <c r="H187" s="54">
        <f>IFERROR(IF($H$4="SAC",$D$4/$D$6,G187-I187-K187),0)</f>
        <v/>
      </c>
      <c r="I187" s="55">
        <f>IFERROR(F187*$D$7,0)</f>
        <v/>
      </c>
      <c r="J187" s="44" t="n"/>
      <c r="K187" s="56">
        <f>IFERROR($H$5,0)</f>
        <v/>
      </c>
      <c r="L187" s="46" t="n"/>
      <c r="M187" s="44" t="n"/>
      <c r="N187" s="47">
        <f>IFERROR(N186+M187,N186)</f>
        <v/>
      </c>
      <c r="O187" s="48">
        <f>IF(M187="","⏳ PENDENTE",IF(M187&gt;=G187,"✅ PAGO","⚠️ PARCIAL"))</f>
        <v/>
      </c>
    </row>
    <row r="188" ht="19" customHeight="1">
      <c r="A188" s="5" t="n"/>
      <c r="B188" s="36" t="n">
        <v>175</v>
      </c>
      <c r="C188" s="37">
        <f>IFERROR(TEXT(EDATE(DATE(VALUE(RIGHT(D5,4)),MATCH(LEFT(D5,3),{"Jan","Fev","Mar","Abr","Mai","Jun","Jul","Ago","Set","Out","Nov","Dez"},0),1),174),"mmm/yyyy")</f>
        <v/>
      </c>
      <c r="D188" s="38">
        <f>IFERROR(EDATE(DATE(VALUE(RIGHT(D5,4)),MATCH(LEFT(D5,3),{"Jan","Fev","Mar","Abr","Mai","Jun","Jul","Ago","Set","Out","Nov","Dez"},0),5),174),"—")</f>
        <v/>
      </c>
      <c r="E188" s="39">
        <f>$H$4</f>
        <v/>
      </c>
      <c r="F188" s="40">
        <f>IFERROR(F187-H187-J187,0)</f>
        <v/>
      </c>
      <c r="G188" s="41">
        <f>IF($H$4="PRICE",$L$4,IF($H$4="SAC",$L$5,0))</f>
        <v/>
      </c>
      <c r="H188" s="42">
        <f>IFERROR(IF($H$4="SAC",$D$4/$D$6,G188-I188-K188),0)</f>
        <v/>
      </c>
      <c r="I188" s="43">
        <f>IFERROR(F188*$D$7,0)</f>
        <v/>
      </c>
      <c r="J188" s="44" t="n"/>
      <c r="K188" s="45">
        <f>IFERROR($H$5,0)</f>
        <v/>
      </c>
      <c r="L188" s="46" t="n"/>
      <c r="M188" s="44" t="n"/>
      <c r="N188" s="47">
        <f>IFERROR(N187+M188,N187)</f>
        <v/>
      </c>
      <c r="O188" s="48">
        <f>IF(M188="","⏳ PENDENTE",IF(M188&gt;=G188,"✅ PAGO","⚠️ PARCIAL"))</f>
        <v/>
      </c>
    </row>
    <row r="189" ht="19" customHeight="1">
      <c r="A189" s="1" t="n"/>
      <c r="B189" s="49" t="n">
        <v>176</v>
      </c>
      <c r="C189" s="50">
        <f>IFERROR(TEXT(EDATE(DATE(VALUE(RIGHT(D5,4)),MATCH(LEFT(D5,3),{"Jan","Fev","Mar","Abr","Mai","Jun","Jul","Ago","Set","Out","Nov","Dez"},0),1),175),"mmm/yyyy")</f>
        <v/>
      </c>
      <c r="D189" s="51">
        <f>IFERROR(EDATE(DATE(VALUE(RIGHT(D5,4)),MATCH(LEFT(D5,3),{"Jan","Fev","Mar","Abr","Mai","Jun","Jul","Ago","Set","Out","Nov","Dez"},0),5),175),"—")</f>
        <v/>
      </c>
      <c r="E189" s="39">
        <f>$H$4</f>
        <v/>
      </c>
      <c r="F189" s="52">
        <f>IFERROR(F188-H188-J188,0)</f>
        <v/>
      </c>
      <c r="G189" s="53">
        <f>IF($H$4="PRICE",$L$4,IF($H$4="SAC",$L$5,0))</f>
        <v/>
      </c>
      <c r="H189" s="54">
        <f>IFERROR(IF($H$4="SAC",$D$4/$D$6,G189-I189-K189),0)</f>
        <v/>
      </c>
      <c r="I189" s="55">
        <f>IFERROR(F189*$D$7,0)</f>
        <v/>
      </c>
      <c r="J189" s="44" t="n"/>
      <c r="K189" s="56">
        <f>IFERROR($H$5,0)</f>
        <v/>
      </c>
      <c r="L189" s="46" t="n"/>
      <c r="M189" s="44" t="n"/>
      <c r="N189" s="47">
        <f>IFERROR(N188+M189,N188)</f>
        <v/>
      </c>
      <c r="O189" s="48">
        <f>IF(M189="","⏳ PENDENTE",IF(M189&gt;=G189,"✅ PAGO","⚠️ PARCIAL"))</f>
        <v/>
      </c>
    </row>
    <row r="190" ht="19" customHeight="1">
      <c r="A190" s="5" t="n"/>
      <c r="B190" s="36" t="n">
        <v>177</v>
      </c>
      <c r="C190" s="37">
        <f>IFERROR(TEXT(EDATE(DATE(VALUE(RIGHT(D5,4)),MATCH(LEFT(D5,3),{"Jan","Fev","Mar","Abr","Mai","Jun","Jul","Ago","Set","Out","Nov","Dez"},0),1),176),"mmm/yyyy")</f>
        <v/>
      </c>
      <c r="D190" s="38">
        <f>IFERROR(EDATE(DATE(VALUE(RIGHT(D5,4)),MATCH(LEFT(D5,3),{"Jan","Fev","Mar","Abr","Mai","Jun","Jul","Ago","Set","Out","Nov","Dez"},0),5),176),"—")</f>
        <v/>
      </c>
      <c r="E190" s="39">
        <f>$H$4</f>
        <v/>
      </c>
      <c r="F190" s="40">
        <f>IFERROR(F189-H189-J189,0)</f>
        <v/>
      </c>
      <c r="G190" s="41">
        <f>IF($H$4="PRICE",$L$4,IF($H$4="SAC",$L$5,0))</f>
        <v/>
      </c>
      <c r="H190" s="42">
        <f>IFERROR(IF($H$4="SAC",$D$4/$D$6,G190-I190-K190),0)</f>
        <v/>
      </c>
      <c r="I190" s="43">
        <f>IFERROR(F190*$D$7,0)</f>
        <v/>
      </c>
      <c r="J190" s="44" t="n"/>
      <c r="K190" s="45">
        <f>IFERROR($H$5,0)</f>
        <v/>
      </c>
      <c r="L190" s="46" t="n"/>
      <c r="M190" s="44" t="n"/>
      <c r="N190" s="47">
        <f>IFERROR(N189+M190,N189)</f>
        <v/>
      </c>
      <c r="O190" s="48">
        <f>IF(M190="","⏳ PENDENTE",IF(M190&gt;=G190,"✅ PAGO","⚠️ PARCIAL"))</f>
        <v/>
      </c>
    </row>
    <row r="191" ht="19" customHeight="1">
      <c r="A191" s="1" t="n"/>
      <c r="B191" s="49" t="n">
        <v>178</v>
      </c>
      <c r="C191" s="50">
        <f>IFERROR(TEXT(EDATE(DATE(VALUE(RIGHT(D5,4)),MATCH(LEFT(D5,3),{"Jan","Fev","Mar","Abr","Mai","Jun","Jul","Ago","Set","Out","Nov","Dez"},0),1),177),"mmm/yyyy")</f>
        <v/>
      </c>
      <c r="D191" s="51">
        <f>IFERROR(EDATE(DATE(VALUE(RIGHT(D5,4)),MATCH(LEFT(D5,3),{"Jan","Fev","Mar","Abr","Mai","Jun","Jul","Ago","Set","Out","Nov","Dez"},0),5),177),"—")</f>
        <v/>
      </c>
      <c r="E191" s="39">
        <f>$H$4</f>
        <v/>
      </c>
      <c r="F191" s="52">
        <f>IFERROR(F190-H190-J190,0)</f>
        <v/>
      </c>
      <c r="G191" s="53">
        <f>IF($H$4="PRICE",$L$4,IF($H$4="SAC",$L$5,0))</f>
        <v/>
      </c>
      <c r="H191" s="54">
        <f>IFERROR(IF($H$4="SAC",$D$4/$D$6,G191-I191-K191),0)</f>
        <v/>
      </c>
      <c r="I191" s="55">
        <f>IFERROR(F191*$D$7,0)</f>
        <v/>
      </c>
      <c r="J191" s="44" t="n"/>
      <c r="K191" s="56">
        <f>IFERROR($H$5,0)</f>
        <v/>
      </c>
      <c r="L191" s="46" t="n"/>
      <c r="M191" s="44" t="n"/>
      <c r="N191" s="47">
        <f>IFERROR(N190+M191,N190)</f>
        <v/>
      </c>
      <c r="O191" s="48">
        <f>IF(M191="","⏳ PENDENTE",IF(M191&gt;=G191,"✅ PAGO","⚠️ PARCIAL"))</f>
        <v/>
      </c>
    </row>
    <row r="192" ht="19" customHeight="1">
      <c r="A192" s="5" t="n"/>
      <c r="B192" s="36" t="n">
        <v>179</v>
      </c>
      <c r="C192" s="37">
        <f>IFERROR(TEXT(EDATE(DATE(VALUE(RIGHT(D5,4)),MATCH(LEFT(D5,3),{"Jan","Fev","Mar","Abr","Mai","Jun","Jul","Ago","Set","Out","Nov","Dez"},0),1),178),"mmm/yyyy")</f>
        <v/>
      </c>
      <c r="D192" s="38">
        <f>IFERROR(EDATE(DATE(VALUE(RIGHT(D5,4)),MATCH(LEFT(D5,3),{"Jan","Fev","Mar","Abr","Mai","Jun","Jul","Ago","Set","Out","Nov","Dez"},0),5),178),"—")</f>
        <v/>
      </c>
      <c r="E192" s="39">
        <f>$H$4</f>
        <v/>
      </c>
      <c r="F192" s="40">
        <f>IFERROR(F191-H191-J191,0)</f>
        <v/>
      </c>
      <c r="G192" s="41">
        <f>IF($H$4="PRICE",$L$4,IF($H$4="SAC",$L$5,0))</f>
        <v/>
      </c>
      <c r="H192" s="42">
        <f>IFERROR(IF($H$4="SAC",$D$4/$D$6,G192-I192-K192),0)</f>
        <v/>
      </c>
      <c r="I192" s="43">
        <f>IFERROR(F192*$D$7,0)</f>
        <v/>
      </c>
      <c r="J192" s="44" t="n"/>
      <c r="K192" s="45">
        <f>IFERROR($H$5,0)</f>
        <v/>
      </c>
      <c r="L192" s="46" t="n"/>
      <c r="M192" s="44" t="n"/>
      <c r="N192" s="47">
        <f>IFERROR(N191+M192,N191)</f>
        <v/>
      </c>
      <c r="O192" s="48">
        <f>IF(M192="","⏳ PENDENTE",IF(M192&gt;=G192,"✅ PAGO","⚠️ PARCIAL"))</f>
        <v/>
      </c>
    </row>
    <row r="193" ht="19" customHeight="1">
      <c r="A193" s="1" t="n"/>
      <c r="B193" s="49" t="n">
        <v>180</v>
      </c>
      <c r="C193" s="50">
        <f>IFERROR(TEXT(EDATE(DATE(VALUE(RIGHT(D5,4)),MATCH(LEFT(D5,3),{"Jan","Fev","Mar","Abr","Mai","Jun","Jul","Ago","Set","Out","Nov","Dez"},0),1),179),"mmm/yyyy")</f>
        <v/>
      </c>
      <c r="D193" s="51">
        <f>IFERROR(EDATE(DATE(VALUE(RIGHT(D5,4)),MATCH(LEFT(D5,3),{"Jan","Fev","Mar","Abr","Mai","Jun","Jul","Ago","Set","Out","Nov","Dez"},0),5),179),"—")</f>
        <v/>
      </c>
      <c r="E193" s="39">
        <f>$H$4</f>
        <v/>
      </c>
      <c r="F193" s="52">
        <f>IFERROR(F192-H192-J192,0)</f>
        <v/>
      </c>
      <c r="G193" s="53">
        <f>IF($H$4="PRICE",$L$4,IF($H$4="SAC",$L$5,0))</f>
        <v/>
      </c>
      <c r="H193" s="54">
        <f>IFERROR(IF($H$4="SAC",$D$4/$D$6,G193-I193-K193),0)</f>
        <v/>
      </c>
      <c r="I193" s="55">
        <f>IFERROR(F193*$D$7,0)</f>
        <v/>
      </c>
      <c r="J193" s="44" t="n"/>
      <c r="K193" s="56">
        <f>IFERROR($H$5,0)</f>
        <v/>
      </c>
      <c r="L193" s="46" t="n"/>
      <c r="M193" s="44" t="n"/>
      <c r="N193" s="47">
        <f>IFERROR(N192+M193,N192)</f>
        <v/>
      </c>
      <c r="O193" s="48">
        <f>IF(M193="","⏳ PENDENTE",IF(M193&gt;=G193,"✅ PAGO","⚠️ PARCIAL"))</f>
        <v/>
      </c>
    </row>
    <row r="194" ht="19" customHeight="1">
      <c r="A194" s="5" t="n"/>
      <c r="B194" s="36" t="n">
        <v>181</v>
      </c>
      <c r="C194" s="37">
        <f>IFERROR(TEXT(EDATE(DATE(VALUE(RIGHT(D5,4)),MATCH(LEFT(D5,3),{"Jan","Fev","Mar","Abr","Mai","Jun","Jul","Ago","Set","Out","Nov","Dez"},0),1),180),"mmm/yyyy")</f>
        <v/>
      </c>
      <c r="D194" s="38">
        <f>IFERROR(EDATE(DATE(VALUE(RIGHT(D5,4)),MATCH(LEFT(D5,3),{"Jan","Fev","Mar","Abr","Mai","Jun","Jul","Ago","Set","Out","Nov","Dez"},0),5),180),"—")</f>
        <v/>
      </c>
      <c r="E194" s="39">
        <f>$H$4</f>
        <v/>
      </c>
      <c r="F194" s="40">
        <f>IFERROR(F193-H193-J193,0)</f>
        <v/>
      </c>
      <c r="G194" s="41">
        <f>IF($H$4="PRICE",$L$4,IF($H$4="SAC",$L$5,0))</f>
        <v/>
      </c>
      <c r="H194" s="42">
        <f>IFERROR(IF($H$4="SAC",$D$4/$D$6,G194-I194-K194),0)</f>
        <v/>
      </c>
      <c r="I194" s="43">
        <f>IFERROR(F194*$D$7,0)</f>
        <v/>
      </c>
      <c r="J194" s="44" t="n"/>
      <c r="K194" s="45">
        <f>IFERROR($H$5,0)</f>
        <v/>
      </c>
      <c r="L194" s="46" t="n"/>
      <c r="M194" s="44" t="n"/>
      <c r="N194" s="47">
        <f>IFERROR(N193+M194,N193)</f>
        <v/>
      </c>
      <c r="O194" s="48">
        <f>IF(M194="","⏳ PENDENTE",IF(M194&gt;=G194,"✅ PAGO","⚠️ PARCIAL"))</f>
        <v/>
      </c>
    </row>
    <row r="195" ht="19" customHeight="1">
      <c r="A195" s="1" t="n"/>
      <c r="B195" s="49" t="n">
        <v>182</v>
      </c>
      <c r="C195" s="50">
        <f>IFERROR(TEXT(EDATE(DATE(VALUE(RIGHT(D5,4)),MATCH(LEFT(D5,3),{"Jan","Fev","Mar","Abr","Mai","Jun","Jul","Ago","Set","Out","Nov","Dez"},0),1),181),"mmm/yyyy")</f>
        <v/>
      </c>
      <c r="D195" s="51">
        <f>IFERROR(EDATE(DATE(VALUE(RIGHT(D5,4)),MATCH(LEFT(D5,3),{"Jan","Fev","Mar","Abr","Mai","Jun","Jul","Ago","Set","Out","Nov","Dez"},0),5),181),"—")</f>
        <v/>
      </c>
      <c r="E195" s="39">
        <f>$H$4</f>
        <v/>
      </c>
      <c r="F195" s="52">
        <f>IFERROR(F194-H194-J194,0)</f>
        <v/>
      </c>
      <c r="G195" s="53">
        <f>IF($H$4="PRICE",$L$4,IF($H$4="SAC",$L$5,0))</f>
        <v/>
      </c>
      <c r="H195" s="54">
        <f>IFERROR(IF($H$4="SAC",$D$4/$D$6,G195-I195-K195),0)</f>
        <v/>
      </c>
      <c r="I195" s="55">
        <f>IFERROR(F195*$D$7,0)</f>
        <v/>
      </c>
      <c r="J195" s="44" t="n"/>
      <c r="K195" s="56">
        <f>IFERROR($H$5,0)</f>
        <v/>
      </c>
      <c r="L195" s="46" t="n"/>
      <c r="M195" s="44" t="n"/>
      <c r="N195" s="47">
        <f>IFERROR(N194+M195,N194)</f>
        <v/>
      </c>
      <c r="O195" s="48">
        <f>IF(M195="","⏳ PENDENTE",IF(M195&gt;=G195,"✅ PAGO","⚠️ PARCIAL"))</f>
        <v/>
      </c>
    </row>
    <row r="196" ht="19" customHeight="1">
      <c r="A196" s="5" t="n"/>
      <c r="B196" s="36" t="n">
        <v>183</v>
      </c>
      <c r="C196" s="37">
        <f>IFERROR(TEXT(EDATE(DATE(VALUE(RIGHT(D5,4)),MATCH(LEFT(D5,3),{"Jan","Fev","Mar","Abr","Mai","Jun","Jul","Ago","Set","Out","Nov","Dez"},0),1),182),"mmm/yyyy")</f>
        <v/>
      </c>
      <c r="D196" s="38">
        <f>IFERROR(EDATE(DATE(VALUE(RIGHT(D5,4)),MATCH(LEFT(D5,3),{"Jan","Fev","Mar","Abr","Mai","Jun","Jul","Ago","Set","Out","Nov","Dez"},0),5),182),"—")</f>
        <v/>
      </c>
      <c r="E196" s="39">
        <f>$H$4</f>
        <v/>
      </c>
      <c r="F196" s="40">
        <f>IFERROR(F195-H195-J195,0)</f>
        <v/>
      </c>
      <c r="G196" s="41">
        <f>IF($H$4="PRICE",$L$4,IF($H$4="SAC",$L$5,0))</f>
        <v/>
      </c>
      <c r="H196" s="42">
        <f>IFERROR(IF($H$4="SAC",$D$4/$D$6,G196-I196-K196),0)</f>
        <v/>
      </c>
      <c r="I196" s="43">
        <f>IFERROR(F196*$D$7,0)</f>
        <v/>
      </c>
      <c r="J196" s="44" t="n"/>
      <c r="K196" s="45">
        <f>IFERROR($H$5,0)</f>
        <v/>
      </c>
      <c r="L196" s="46" t="n"/>
      <c r="M196" s="44" t="n"/>
      <c r="N196" s="47">
        <f>IFERROR(N195+M196,N195)</f>
        <v/>
      </c>
      <c r="O196" s="48">
        <f>IF(M196="","⏳ PENDENTE",IF(M196&gt;=G196,"✅ PAGO","⚠️ PARCIAL"))</f>
        <v/>
      </c>
    </row>
    <row r="197" ht="19" customHeight="1">
      <c r="A197" s="1" t="n"/>
      <c r="B197" s="49" t="n">
        <v>184</v>
      </c>
      <c r="C197" s="50">
        <f>IFERROR(TEXT(EDATE(DATE(VALUE(RIGHT(D5,4)),MATCH(LEFT(D5,3),{"Jan","Fev","Mar","Abr","Mai","Jun","Jul","Ago","Set","Out","Nov","Dez"},0),1),183),"mmm/yyyy")</f>
        <v/>
      </c>
      <c r="D197" s="51">
        <f>IFERROR(EDATE(DATE(VALUE(RIGHT(D5,4)),MATCH(LEFT(D5,3),{"Jan","Fev","Mar","Abr","Mai","Jun","Jul","Ago","Set","Out","Nov","Dez"},0),5),183),"—")</f>
        <v/>
      </c>
      <c r="E197" s="39">
        <f>$H$4</f>
        <v/>
      </c>
      <c r="F197" s="52">
        <f>IFERROR(F196-H196-J196,0)</f>
        <v/>
      </c>
      <c r="G197" s="53">
        <f>IF($H$4="PRICE",$L$4,IF($H$4="SAC",$L$5,0))</f>
        <v/>
      </c>
      <c r="H197" s="54">
        <f>IFERROR(IF($H$4="SAC",$D$4/$D$6,G197-I197-K197),0)</f>
        <v/>
      </c>
      <c r="I197" s="55">
        <f>IFERROR(F197*$D$7,0)</f>
        <v/>
      </c>
      <c r="J197" s="44" t="n"/>
      <c r="K197" s="56">
        <f>IFERROR($H$5,0)</f>
        <v/>
      </c>
      <c r="L197" s="46" t="n"/>
      <c r="M197" s="44" t="n"/>
      <c r="N197" s="47">
        <f>IFERROR(N196+M197,N196)</f>
        <v/>
      </c>
      <c r="O197" s="48">
        <f>IF(M197="","⏳ PENDENTE",IF(M197&gt;=G197,"✅ PAGO","⚠️ PARCIAL"))</f>
        <v/>
      </c>
    </row>
    <row r="198" ht="19" customHeight="1">
      <c r="A198" s="5" t="n"/>
      <c r="B198" s="36" t="n">
        <v>185</v>
      </c>
      <c r="C198" s="37">
        <f>IFERROR(TEXT(EDATE(DATE(VALUE(RIGHT(D5,4)),MATCH(LEFT(D5,3),{"Jan","Fev","Mar","Abr","Mai","Jun","Jul","Ago","Set","Out","Nov","Dez"},0),1),184),"mmm/yyyy")</f>
        <v/>
      </c>
      <c r="D198" s="38">
        <f>IFERROR(EDATE(DATE(VALUE(RIGHT(D5,4)),MATCH(LEFT(D5,3),{"Jan","Fev","Mar","Abr","Mai","Jun","Jul","Ago","Set","Out","Nov","Dez"},0),5),184),"—")</f>
        <v/>
      </c>
      <c r="E198" s="39">
        <f>$H$4</f>
        <v/>
      </c>
      <c r="F198" s="40">
        <f>IFERROR(F197-H197-J197,0)</f>
        <v/>
      </c>
      <c r="G198" s="41">
        <f>IF($H$4="PRICE",$L$4,IF($H$4="SAC",$L$5,0))</f>
        <v/>
      </c>
      <c r="H198" s="42">
        <f>IFERROR(IF($H$4="SAC",$D$4/$D$6,G198-I198-K198),0)</f>
        <v/>
      </c>
      <c r="I198" s="43">
        <f>IFERROR(F198*$D$7,0)</f>
        <v/>
      </c>
      <c r="J198" s="44" t="n"/>
      <c r="K198" s="45">
        <f>IFERROR($H$5,0)</f>
        <v/>
      </c>
      <c r="L198" s="46" t="n"/>
      <c r="M198" s="44" t="n"/>
      <c r="N198" s="47">
        <f>IFERROR(N197+M198,N197)</f>
        <v/>
      </c>
      <c r="O198" s="48">
        <f>IF(M198="","⏳ PENDENTE",IF(M198&gt;=G198,"✅ PAGO","⚠️ PARCIAL"))</f>
        <v/>
      </c>
    </row>
    <row r="199" ht="19" customHeight="1">
      <c r="A199" s="1" t="n"/>
      <c r="B199" s="49" t="n">
        <v>186</v>
      </c>
      <c r="C199" s="50">
        <f>IFERROR(TEXT(EDATE(DATE(VALUE(RIGHT(D5,4)),MATCH(LEFT(D5,3),{"Jan","Fev","Mar","Abr","Mai","Jun","Jul","Ago","Set","Out","Nov","Dez"},0),1),185),"mmm/yyyy")</f>
        <v/>
      </c>
      <c r="D199" s="51">
        <f>IFERROR(EDATE(DATE(VALUE(RIGHT(D5,4)),MATCH(LEFT(D5,3),{"Jan","Fev","Mar","Abr","Mai","Jun","Jul","Ago","Set","Out","Nov","Dez"},0),5),185),"—")</f>
        <v/>
      </c>
      <c r="E199" s="39">
        <f>$H$4</f>
        <v/>
      </c>
      <c r="F199" s="52">
        <f>IFERROR(F198-H198-J198,0)</f>
        <v/>
      </c>
      <c r="G199" s="53">
        <f>IF($H$4="PRICE",$L$4,IF($H$4="SAC",$L$5,0))</f>
        <v/>
      </c>
      <c r="H199" s="54">
        <f>IFERROR(IF($H$4="SAC",$D$4/$D$6,G199-I199-K199),0)</f>
        <v/>
      </c>
      <c r="I199" s="55">
        <f>IFERROR(F199*$D$7,0)</f>
        <v/>
      </c>
      <c r="J199" s="44" t="n"/>
      <c r="K199" s="56">
        <f>IFERROR($H$5,0)</f>
        <v/>
      </c>
      <c r="L199" s="46" t="n"/>
      <c r="M199" s="44" t="n"/>
      <c r="N199" s="47">
        <f>IFERROR(N198+M199,N198)</f>
        <v/>
      </c>
      <c r="O199" s="48">
        <f>IF(M199="","⏳ PENDENTE",IF(M199&gt;=G199,"✅ PAGO","⚠️ PARCIAL"))</f>
        <v/>
      </c>
    </row>
    <row r="200" ht="19" customHeight="1">
      <c r="A200" s="5" t="n"/>
      <c r="B200" s="36" t="n">
        <v>187</v>
      </c>
      <c r="C200" s="37">
        <f>IFERROR(TEXT(EDATE(DATE(VALUE(RIGHT(D5,4)),MATCH(LEFT(D5,3),{"Jan","Fev","Mar","Abr","Mai","Jun","Jul","Ago","Set","Out","Nov","Dez"},0),1),186),"mmm/yyyy")</f>
        <v/>
      </c>
      <c r="D200" s="38">
        <f>IFERROR(EDATE(DATE(VALUE(RIGHT(D5,4)),MATCH(LEFT(D5,3),{"Jan","Fev","Mar","Abr","Mai","Jun","Jul","Ago","Set","Out","Nov","Dez"},0),5),186),"—")</f>
        <v/>
      </c>
      <c r="E200" s="39">
        <f>$H$4</f>
        <v/>
      </c>
      <c r="F200" s="40">
        <f>IFERROR(F199-H199-J199,0)</f>
        <v/>
      </c>
      <c r="G200" s="41">
        <f>IF($H$4="PRICE",$L$4,IF($H$4="SAC",$L$5,0))</f>
        <v/>
      </c>
      <c r="H200" s="42">
        <f>IFERROR(IF($H$4="SAC",$D$4/$D$6,G200-I200-K200),0)</f>
        <v/>
      </c>
      <c r="I200" s="43">
        <f>IFERROR(F200*$D$7,0)</f>
        <v/>
      </c>
      <c r="J200" s="44" t="n"/>
      <c r="K200" s="45">
        <f>IFERROR($H$5,0)</f>
        <v/>
      </c>
      <c r="L200" s="46" t="n"/>
      <c r="M200" s="44" t="n"/>
      <c r="N200" s="47">
        <f>IFERROR(N199+M200,N199)</f>
        <v/>
      </c>
      <c r="O200" s="48">
        <f>IF(M200="","⏳ PENDENTE",IF(M200&gt;=G200,"✅ PAGO","⚠️ PARCIAL"))</f>
        <v/>
      </c>
    </row>
    <row r="201" ht="19" customHeight="1">
      <c r="A201" s="1" t="n"/>
      <c r="B201" s="49" t="n">
        <v>188</v>
      </c>
      <c r="C201" s="50">
        <f>IFERROR(TEXT(EDATE(DATE(VALUE(RIGHT(D5,4)),MATCH(LEFT(D5,3),{"Jan","Fev","Mar","Abr","Mai","Jun","Jul","Ago","Set","Out","Nov","Dez"},0),1),187),"mmm/yyyy")</f>
        <v/>
      </c>
      <c r="D201" s="51">
        <f>IFERROR(EDATE(DATE(VALUE(RIGHT(D5,4)),MATCH(LEFT(D5,3),{"Jan","Fev","Mar","Abr","Mai","Jun","Jul","Ago","Set","Out","Nov","Dez"},0),5),187),"—")</f>
        <v/>
      </c>
      <c r="E201" s="39">
        <f>$H$4</f>
        <v/>
      </c>
      <c r="F201" s="52">
        <f>IFERROR(F200-H200-J200,0)</f>
        <v/>
      </c>
      <c r="G201" s="53">
        <f>IF($H$4="PRICE",$L$4,IF($H$4="SAC",$L$5,0))</f>
        <v/>
      </c>
      <c r="H201" s="54">
        <f>IFERROR(IF($H$4="SAC",$D$4/$D$6,G201-I201-K201),0)</f>
        <v/>
      </c>
      <c r="I201" s="55">
        <f>IFERROR(F201*$D$7,0)</f>
        <v/>
      </c>
      <c r="J201" s="44" t="n"/>
      <c r="K201" s="56">
        <f>IFERROR($H$5,0)</f>
        <v/>
      </c>
      <c r="L201" s="46" t="n"/>
      <c r="M201" s="44" t="n"/>
      <c r="N201" s="47">
        <f>IFERROR(N200+M201,N200)</f>
        <v/>
      </c>
      <c r="O201" s="48">
        <f>IF(M201="","⏳ PENDENTE",IF(M201&gt;=G201,"✅ PAGO","⚠️ PARCIAL"))</f>
        <v/>
      </c>
    </row>
    <row r="202" ht="19" customHeight="1">
      <c r="A202" s="5" t="n"/>
      <c r="B202" s="36" t="n">
        <v>189</v>
      </c>
      <c r="C202" s="37">
        <f>IFERROR(TEXT(EDATE(DATE(VALUE(RIGHT(D5,4)),MATCH(LEFT(D5,3),{"Jan","Fev","Mar","Abr","Mai","Jun","Jul","Ago","Set","Out","Nov","Dez"},0),1),188),"mmm/yyyy")</f>
        <v/>
      </c>
      <c r="D202" s="38">
        <f>IFERROR(EDATE(DATE(VALUE(RIGHT(D5,4)),MATCH(LEFT(D5,3),{"Jan","Fev","Mar","Abr","Mai","Jun","Jul","Ago","Set","Out","Nov","Dez"},0),5),188),"—")</f>
        <v/>
      </c>
      <c r="E202" s="39">
        <f>$H$4</f>
        <v/>
      </c>
      <c r="F202" s="40">
        <f>IFERROR(F201-H201-J201,0)</f>
        <v/>
      </c>
      <c r="G202" s="41">
        <f>IF($H$4="PRICE",$L$4,IF($H$4="SAC",$L$5,0))</f>
        <v/>
      </c>
      <c r="H202" s="42">
        <f>IFERROR(IF($H$4="SAC",$D$4/$D$6,G202-I202-K202),0)</f>
        <v/>
      </c>
      <c r="I202" s="43">
        <f>IFERROR(F202*$D$7,0)</f>
        <v/>
      </c>
      <c r="J202" s="44" t="n"/>
      <c r="K202" s="45">
        <f>IFERROR($H$5,0)</f>
        <v/>
      </c>
      <c r="L202" s="46" t="n"/>
      <c r="M202" s="44" t="n"/>
      <c r="N202" s="47">
        <f>IFERROR(N201+M202,N201)</f>
        <v/>
      </c>
      <c r="O202" s="48">
        <f>IF(M202="","⏳ PENDENTE",IF(M202&gt;=G202,"✅ PAGO","⚠️ PARCIAL"))</f>
        <v/>
      </c>
    </row>
    <row r="203" ht="19" customHeight="1">
      <c r="A203" s="1" t="n"/>
      <c r="B203" s="49" t="n">
        <v>190</v>
      </c>
      <c r="C203" s="50">
        <f>IFERROR(TEXT(EDATE(DATE(VALUE(RIGHT(D5,4)),MATCH(LEFT(D5,3),{"Jan","Fev","Mar","Abr","Mai","Jun","Jul","Ago","Set","Out","Nov","Dez"},0),1),189),"mmm/yyyy")</f>
        <v/>
      </c>
      <c r="D203" s="51">
        <f>IFERROR(EDATE(DATE(VALUE(RIGHT(D5,4)),MATCH(LEFT(D5,3),{"Jan","Fev","Mar","Abr","Mai","Jun","Jul","Ago","Set","Out","Nov","Dez"},0),5),189),"—")</f>
        <v/>
      </c>
      <c r="E203" s="39">
        <f>$H$4</f>
        <v/>
      </c>
      <c r="F203" s="52">
        <f>IFERROR(F202-H202-J202,0)</f>
        <v/>
      </c>
      <c r="G203" s="53">
        <f>IF($H$4="PRICE",$L$4,IF($H$4="SAC",$L$5,0))</f>
        <v/>
      </c>
      <c r="H203" s="54">
        <f>IFERROR(IF($H$4="SAC",$D$4/$D$6,G203-I203-K203),0)</f>
        <v/>
      </c>
      <c r="I203" s="55">
        <f>IFERROR(F203*$D$7,0)</f>
        <v/>
      </c>
      <c r="J203" s="44" t="n"/>
      <c r="K203" s="56">
        <f>IFERROR($H$5,0)</f>
        <v/>
      </c>
      <c r="L203" s="46" t="n"/>
      <c r="M203" s="44" t="n"/>
      <c r="N203" s="47">
        <f>IFERROR(N202+M203,N202)</f>
        <v/>
      </c>
      <c r="O203" s="48">
        <f>IF(M203="","⏳ PENDENTE",IF(M203&gt;=G203,"✅ PAGO","⚠️ PARCIAL"))</f>
        <v/>
      </c>
    </row>
    <row r="204" ht="19" customHeight="1">
      <c r="A204" s="5" t="n"/>
      <c r="B204" s="36" t="n">
        <v>191</v>
      </c>
      <c r="C204" s="37">
        <f>IFERROR(TEXT(EDATE(DATE(VALUE(RIGHT(D5,4)),MATCH(LEFT(D5,3),{"Jan","Fev","Mar","Abr","Mai","Jun","Jul","Ago","Set","Out","Nov","Dez"},0),1),190),"mmm/yyyy")</f>
        <v/>
      </c>
      <c r="D204" s="38">
        <f>IFERROR(EDATE(DATE(VALUE(RIGHT(D5,4)),MATCH(LEFT(D5,3),{"Jan","Fev","Mar","Abr","Mai","Jun","Jul","Ago","Set","Out","Nov","Dez"},0),5),190),"—")</f>
        <v/>
      </c>
      <c r="E204" s="39">
        <f>$H$4</f>
        <v/>
      </c>
      <c r="F204" s="40">
        <f>IFERROR(F203-H203-J203,0)</f>
        <v/>
      </c>
      <c r="G204" s="41">
        <f>IF($H$4="PRICE",$L$4,IF($H$4="SAC",$L$5,0))</f>
        <v/>
      </c>
      <c r="H204" s="42">
        <f>IFERROR(IF($H$4="SAC",$D$4/$D$6,G204-I204-K204),0)</f>
        <v/>
      </c>
      <c r="I204" s="43">
        <f>IFERROR(F204*$D$7,0)</f>
        <v/>
      </c>
      <c r="J204" s="44" t="n"/>
      <c r="K204" s="45">
        <f>IFERROR($H$5,0)</f>
        <v/>
      </c>
      <c r="L204" s="46" t="n"/>
      <c r="M204" s="44" t="n"/>
      <c r="N204" s="47">
        <f>IFERROR(N203+M204,N203)</f>
        <v/>
      </c>
      <c r="O204" s="48">
        <f>IF(M204="","⏳ PENDENTE",IF(M204&gt;=G204,"✅ PAGO","⚠️ PARCIAL"))</f>
        <v/>
      </c>
    </row>
    <row r="205" ht="19" customHeight="1">
      <c r="A205" s="1" t="n"/>
      <c r="B205" s="49" t="n">
        <v>192</v>
      </c>
      <c r="C205" s="50">
        <f>IFERROR(TEXT(EDATE(DATE(VALUE(RIGHT(D5,4)),MATCH(LEFT(D5,3),{"Jan","Fev","Mar","Abr","Mai","Jun","Jul","Ago","Set","Out","Nov","Dez"},0),1),191),"mmm/yyyy")</f>
        <v/>
      </c>
      <c r="D205" s="51">
        <f>IFERROR(EDATE(DATE(VALUE(RIGHT(D5,4)),MATCH(LEFT(D5,3),{"Jan","Fev","Mar","Abr","Mai","Jun","Jul","Ago","Set","Out","Nov","Dez"},0),5),191),"—")</f>
        <v/>
      </c>
      <c r="E205" s="39">
        <f>$H$4</f>
        <v/>
      </c>
      <c r="F205" s="52">
        <f>IFERROR(F204-H204-J204,0)</f>
        <v/>
      </c>
      <c r="G205" s="53">
        <f>IF($H$4="PRICE",$L$4,IF($H$4="SAC",$L$5,0))</f>
        <v/>
      </c>
      <c r="H205" s="54">
        <f>IFERROR(IF($H$4="SAC",$D$4/$D$6,G205-I205-K205),0)</f>
        <v/>
      </c>
      <c r="I205" s="55">
        <f>IFERROR(F205*$D$7,0)</f>
        <v/>
      </c>
      <c r="J205" s="44" t="n"/>
      <c r="K205" s="56">
        <f>IFERROR($H$5,0)</f>
        <v/>
      </c>
      <c r="L205" s="46" t="n"/>
      <c r="M205" s="44" t="n"/>
      <c r="N205" s="47">
        <f>IFERROR(N204+M205,N204)</f>
        <v/>
      </c>
      <c r="O205" s="48">
        <f>IF(M205="","⏳ PENDENTE",IF(M205&gt;=G205,"✅ PAGO","⚠️ PARCIAL"))</f>
        <v/>
      </c>
    </row>
    <row r="206" ht="19" customHeight="1">
      <c r="A206" s="5" t="n"/>
      <c r="B206" s="36" t="n">
        <v>193</v>
      </c>
      <c r="C206" s="37">
        <f>IFERROR(TEXT(EDATE(DATE(VALUE(RIGHT(D5,4)),MATCH(LEFT(D5,3),{"Jan","Fev","Mar","Abr","Mai","Jun","Jul","Ago","Set","Out","Nov","Dez"},0),1),192),"mmm/yyyy")</f>
        <v/>
      </c>
      <c r="D206" s="38">
        <f>IFERROR(EDATE(DATE(VALUE(RIGHT(D5,4)),MATCH(LEFT(D5,3),{"Jan","Fev","Mar","Abr","Mai","Jun","Jul","Ago","Set","Out","Nov","Dez"},0),5),192),"—")</f>
        <v/>
      </c>
      <c r="E206" s="39">
        <f>$H$4</f>
        <v/>
      </c>
      <c r="F206" s="40">
        <f>IFERROR(F205-H205-J205,0)</f>
        <v/>
      </c>
      <c r="G206" s="41">
        <f>IF($H$4="PRICE",$L$4,IF($H$4="SAC",$L$5,0))</f>
        <v/>
      </c>
      <c r="H206" s="42">
        <f>IFERROR(IF($H$4="SAC",$D$4/$D$6,G206-I206-K206),0)</f>
        <v/>
      </c>
      <c r="I206" s="43">
        <f>IFERROR(F206*$D$7,0)</f>
        <v/>
      </c>
      <c r="J206" s="44" t="n"/>
      <c r="K206" s="45">
        <f>IFERROR($H$5,0)</f>
        <v/>
      </c>
      <c r="L206" s="46" t="n"/>
      <c r="M206" s="44" t="n"/>
      <c r="N206" s="47">
        <f>IFERROR(N205+M206,N205)</f>
        <v/>
      </c>
      <c r="O206" s="48">
        <f>IF(M206="","⏳ PENDENTE",IF(M206&gt;=G206,"✅ PAGO","⚠️ PARCIAL"))</f>
        <v/>
      </c>
    </row>
    <row r="207" ht="19" customHeight="1">
      <c r="A207" s="1" t="n"/>
      <c r="B207" s="49" t="n">
        <v>194</v>
      </c>
      <c r="C207" s="50">
        <f>IFERROR(TEXT(EDATE(DATE(VALUE(RIGHT(D5,4)),MATCH(LEFT(D5,3),{"Jan","Fev","Mar","Abr","Mai","Jun","Jul","Ago","Set","Out","Nov","Dez"},0),1),193),"mmm/yyyy")</f>
        <v/>
      </c>
      <c r="D207" s="51">
        <f>IFERROR(EDATE(DATE(VALUE(RIGHT(D5,4)),MATCH(LEFT(D5,3),{"Jan","Fev","Mar","Abr","Mai","Jun","Jul","Ago","Set","Out","Nov","Dez"},0),5),193),"—")</f>
        <v/>
      </c>
      <c r="E207" s="39">
        <f>$H$4</f>
        <v/>
      </c>
      <c r="F207" s="52">
        <f>IFERROR(F206-H206-J206,0)</f>
        <v/>
      </c>
      <c r="G207" s="53">
        <f>IF($H$4="PRICE",$L$4,IF($H$4="SAC",$L$5,0))</f>
        <v/>
      </c>
      <c r="H207" s="54">
        <f>IFERROR(IF($H$4="SAC",$D$4/$D$6,G207-I207-K207),0)</f>
        <v/>
      </c>
      <c r="I207" s="55">
        <f>IFERROR(F207*$D$7,0)</f>
        <v/>
      </c>
      <c r="J207" s="44" t="n"/>
      <c r="K207" s="56">
        <f>IFERROR($H$5,0)</f>
        <v/>
      </c>
      <c r="L207" s="46" t="n"/>
      <c r="M207" s="44" t="n"/>
      <c r="N207" s="47">
        <f>IFERROR(N206+M207,N206)</f>
        <v/>
      </c>
      <c r="O207" s="48">
        <f>IF(M207="","⏳ PENDENTE",IF(M207&gt;=G207,"✅ PAGO","⚠️ PARCIAL"))</f>
        <v/>
      </c>
    </row>
    <row r="208" ht="19" customHeight="1">
      <c r="A208" s="5" t="n"/>
      <c r="B208" s="36" t="n">
        <v>195</v>
      </c>
      <c r="C208" s="37">
        <f>IFERROR(TEXT(EDATE(DATE(VALUE(RIGHT(D5,4)),MATCH(LEFT(D5,3),{"Jan","Fev","Mar","Abr","Mai","Jun","Jul","Ago","Set","Out","Nov","Dez"},0),1),194),"mmm/yyyy")</f>
        <v/>
      </c>
      <c r="D208" s="38">
        <f>IFERROR(EDATE(DATE(VALUE(RIGHT(D5,4)),MATCH(LEFT(D5,3),{"Jan","Fev","Mar","Abr","Mai","Jun","Jul","Ago","Set","Out","Nov","Dez"},0),5),194),"—")</f>
        <v/>
      </c>
      <c r="E208" s="39">
        <f>$H$4</f>
        <v/>
      </c>
      <c r="F208" s="40">
        <f>IFERROR(F207-H207-J207,0)</f>
        <v/>
      </c>
      <c r="G208" s="41">
        <f>IF($H$4="PRICE",$L$4,IF($H$4="SAC",$L$5,0))</f>
        <v/>
      </c>
      <c r="H208" s="42">
        <f>IFERROR(IF($H$4="SAC",$D$4/$D$6,G208-I208-K208),0)</f>
        <v/>
      </c>
      <c r="I208" s="43">
        <f>IFERROR(F208*$D$7,0)</f>
        <v/>
      </c>
      <c r="J208" s="44" t="n"/>
      <c r="K208" s="45">
        <f>IFERROR($H$5,0)</f>
        <v/>
      </c>
      <c r="L208" s="46" t="n"/>
      <c r="M208" s="44" t="n"/>
      <c r="N208" s="47">
        <f>IFERROR(N207+M208,N207)</f>
        <v/>
      </c>
      <c r="O208" s="48">
        <f>IF(M208="","⏳ PENDENTE",IF(M208&gt;=G208,"✅ PAGO","⚠️ PARCIAL"))</f>
        <v/>
      </c>
    </row>
    <row r="209" ht="19" customHeight="1">
      <c r="A209" s="1" t="n"/>
      <c r="B209" s="49" t="n">
        <v>196</v>
      </c>
      <c r="C209" s="50">
        <f>IFERROR(TEXT(EDATE(DATE(VALUE(RIGHT(D5,4)),MATCH(LEFT(D5,3),{"Jan","Fev","Mar","Abr","Mai","Jun","Jul","Ago","Set","Out","Nov","Dez"},0),1),195),"mmm/yyyy")</f>
        <v/>
      </c>
      <c r="D209" s="51">
        <f>IFERROR(EDATE(DATE(VALUE(RIGHT(D5,4)),MATCH(LEFT(D5,3),{"Jan","Fev","Mar","Abr","Mai","Jun","Jul","Ago","Set","Out","Nov","Dez"},0),5),195),"—")</f>
        <v/>
      </c>
      <c r="E209" s="39">
        <f>$H$4</f>
        <v/>
      </c>
      <c r="F209" s="52">
        <f>IFERROR(F208-H208-J208,0)</f>
        <v/>
      </c>
      <c r="G209" s="53">
        <f>IF($H$4="PRICE",$L$4,IF($H$4="SAC",$L$5,0))</f>
        <v/>
      </c>
      <c r="H209" s="54">
        <f>IFERROR(IF($H$4="SAC",$D$4/$D$6,G209-I209-K209),0)</f>
        <v/>
      </c>
      <c r="I209" s="55">
        <f>IFERROR(F209*$D$7,0)</f>
        <v/>
      </c>
      <c r="J209" s="44" t="n"/>
      <c r="K209" s="56">
        <f>IFERROR($H$5,0)</f>
        <v/>
      </c>
      <c r="L209" s="46" t="n"/>
      <c r="M209" s="44" t="n"/>
      <c r="N209" s="47">
        <f>IFERROR(N208+M209,N208)</f>
        <v/>
      </c>
      <c r="O209" s="48">
        <f>IF(M209="","⏳ PENDENTE",IF(M209&gt;=G209,"✅ PAGO","⚠️ PARCIAL"))</f>
        <v/>
      </c>
    </row>
    <row r="210" ht="19" customHeight="1">
      <c r="A210" s="5" t="n"/>
      <c r="B210" s="36" t="n">
        <v>197</v>
      </c>
      <c r="C210" s="37">
        <f>IFERROR(TEXT(EDATE(DATE(VALUE(RIGHT(D5,4)),MATCH(LEFT(D5,3),{"Jan","Fev","Mar","Abr","Mai","Jun","Jul","Ago","Set","Out","Nov","Dez"},0),1),196),"mmm/yyyy")</f>
        <v/>
      </c>
      <c r="D210" s="38">
        <f>IFERROR(EDATE(DATE(VALUE(RIGHT(D5,4)),MATCH(LEFT(D5,3),{"Jan","Fev","Mar","Abr","Mai","Jun","Jul","Ago","Set","Out","Nov","Dez"},0),5),196),"—")</f>
        <v/>
      </c>
      <c r="E210" s="39">
        <f>$H$4</f>
        <v/>
      </c>
      <c r="F210" s="40">
        <f>IFERROR(F209-H209-J209,0)</f>
        <v/>
      </c>
      <c r="G210" s="41">
        <f>IF($H$4="PRICE",$L$4,IF($H$4="SAC",$L$5,0))</f>
        <v/>
      </c>
      <c r="H210" s="42">
        <f>IFERROR(IF($H$4="SAC",$D$4/$D$6,G210-I210-K210),0)</f>
        <v/>
      </c>
      <c r="I210" s="43">
        <f>IFERROR(F210*$D$7,0)</f>
        <v/>
      </c>
      <c r="J210" s="44" t="n"/>
      <c r="K210" s="45">
        <f>IFERROR($H$5,0)</f>
        <v/>
      </c>
      <c r="L210" s="46" t="n"/>
      <c r="M210" s="44" t="n"/>
      <c r="N210" s="47">
        <f>IFERROR(N209+M210,N209)</f>
        <v/>
      </c>
      <c r="O210" s="48">
        <f>IF(M210="","⏳ PENDENTE",IF(M210&gt;=G210,"✅ PAGO","⚠️ PARCIAL"))</f>
        <v/>
      </c>
    </row>
    <row r="211" ht="19" customHeight="1">
      <c r="A211" s="1" t="n"/>
      <c r="B211" s="49" t="n">
        <v>198</v>
      </c>
      <c r="C211" s="50">
        <f>IFERROR(TEXT(EDATE(DATE(VALUE(RIGHT(D5,4)),MATCH(LEFT(D5,3),{"Jan","Fev","Mar","Abr","Mai","Jun","Jul","Ago","Set","Out","Nov","Dez"},0),1),197),"mmm/yyyy")</f>
        <v/>
      </c>
      <c r="D211" s="51">
        <f>IFERROR(EDATE(DATE(VALUE(RIGHT(D5,4)),MATCH(LEFT(D5,3),{"Jan","Fev","Mar","Abr","Mai","Jun","Jul","Ago","Set","Out","Nov","Dez"},0),5),197),"—")</f>
        <v/>
      </c>
      <c r="E211" s="39">
        <f>$H$4</f>
        <v/>
      </c>
      <c r="F211" s="52">
        <f>IFERROR(F210-H210-J210,0)</f>
        <v/>
      </c>
      <c r="G211" s="53">
        <f>IF($H$4="PRICE",$L$4,IF($H$4="SAC",$L$5,0))</f>
        <v/>
      </c>
      <c r="H211" s="54">
        <f>IFERROR(IF($H$4="SAC",$D$4/$D$6,G211-I211-K211),0)</f>
        <v/>
      </c>
      <c r="I211" s="55">
        <f>IFERROR(F211*$D$7,0)</f>
        <v/>
      </c>
      <c r="J211" s="44" t="n"/>
      <c r="K211" s="56">
        <f>IFERROR($H$5,0)</f>
        <v/>
      </c>
      <c r="L211" s="46" t="n"/>
      <c r="M211" s="44" t="n"/>
      <c r="N211" s="47">
        <f>IFERROR(N210+M211,N210)</f>
        <v/>
      </c>
      <c r="O211" s="48">
        <f>IF(M211="","⏳ PENDENTE",IF(M211&gt;=G211,"✅ PAGO","⚠️ PARCIAL"))</f>
        <v/>
      </c>
    </row>
    <row r="212" ht="19" customHeight="1">
      <c r="A212" s="5" t="n"/>
      <c r="B212" s="36" t="n">
        <v>199</v>
      </c>
      <c r="C212" s="37">
        <f>IFERROR(TEXT(EDATE(DATE(VALUE(RIGHT(D5,4)),MATCH(LEFT(D5,3),{"Jan","Fev","Mar","Abr","Mai","Jun","Jul","Ago","Set","Out","Nov","Dez"},0),1),198),"mmm/yyyy")</f>
        <v/>
      </c>
      <c r="D212" s="38">
        <f>IFERROR(EDATE(DATE(VALUE(RIGHT(D5,4)),MATCH(LEFT(D5,3),{"Jan","Fev","Mar","Abr","Mai","Jun","Jul","Ago","Set","Out","Nov","Dez"},0),5),198),"—")</f>
        <v/>
      </c>
      <c r="E212" s="39">
        <f>$H$4</f>
        <v/>
      </c>
      <c r="F212" s="40">
        <f>IFERROR(F211-H211-J211,0)</f>
        <v/>
      </c>
      <c r="G212" s="41">
        <f>IF($H$4="PRICE",$L$4,IF($H$4="SAC",$L$5,0))</f>
        <v/>
      </c>
      <c r="H212" s="42">
        <f>IFERROR(IF($H$4="SAC",$D$4/$D$6,G212-I212-K212),0)</f>
        <v/>
      </c>
      <c r="I212" s="43">
        <f>IFERROR(F212*$D$7,0)</f>
        <v/>
      </c>
      <c r="J212" s="44" t="n"/>
      <c r="K212" s="45">
        <f>IFERROR($H$5,0)</f>
        <v/>
      </c>
      <c r="L212" s="46" t="n"/>
      <c r="M212" s="44" t="n"/>
      <c r="N212" s="47">
        <f>IFERROR(N211+M212,N211)</f>
        <v/>
      </c>
      <c r="O212" s="48">
        <f>IF(M212="","⏳ PENDENTE",IF(M212&gt;=G212,"✅ PAGO","⚠️ PARCIAL"))</f>
        <v/>
      </c>
    </row>
    <row r="213" ht="19" customHeight="1">
      <c r="A213" s="1" t="n"/>
      <c r="B213" s="49" t="n">
        <v>200</v>
      </c>
      <c r="C213" s="50">
        <f>IFERROR(TEXT(EDATE(DATE(VALUE(RIGHT(D5,4)),MATCH(LEFT(D5,3),{"Jan","Fev","Mar","Abr","Mai","Jun","Jul","Ago","Set","Out","Nov","Dez"},0),1),199),"mmm/yyyy")</f>
        <v/>
      </c>
      <c r="D213" s="51">
        <f>IFERROR(EDATE(DATE(VALUE(RIGHT(D5,4)),MATCH(LEFT(D5,3),{"Jan","Fev","Mar","Abr","Mai","Jun","Jul","Ago","Set","Out","Nov","Dez"},0),5),199),"—")</f>
        <v/>
      </c>
      <c r="E213" s="39">
        <f>$H$4</f>
        <v/>
      </c>
      <c r="F213" s="52">
        <f>IFERROR(F212-H212-J212,0)</f>
        <v/>
      </c>
      <c r="G213" s="53">
        <f>IF($H$4="PRICE",$L$4,IF($H$4="SAC",$L$5,0))</f>
        <v/>
      </c>
      <c r="H213" s="54">
        <f>IFERROR(IF($H$4="SAC",$D$4/$D$6,G213-I213-K213),0)</f>
        <v/>
      </c>
      <c r="I213" s="55">
        <f>IFERROR(F213*$D$7,0)</f>
        <v/>
      </c>
      <c r="J213" s="44" t="n"/>
      <c r="K213" s="56">
        <f>IFERROR($H$5,0)</f>
        <v/>
      </c>
      <c r="L213" s="46" t="n"/>
      <c r="M213" s="44" t="n"/>
      <c r="N213" s="47">
        <f>IFERROR(N212+M213,N212)</f>
        <v/>
      </c>
      <c r="O213" s="48">
        <f>IF(M213="","⏳ PENDENTE",IF(M213&gt;=G213,"✅ PAGO","⚠️ PARCIAL"))</f>
        <v/>
      </c>
    </row>
    <row r="214" ht="19" customHeight="1">
      <c r="A214" s="5" t="n"/>
      <c r="B214" s="36" t="n">
        <v>201</v>
      </c>
      <c r="C214" s="37">
        <f>IFERROR(TEXT(EDATE(DATE(VALUE(RIGHT(D5,4)),MATCH(LEFT(D5,3),{"Jan","Fev","Mar","Abr","Mai","Jun","Jul","Ago","Set","Out","Nov","Dez"},0),1),200),"mmm/yyyy")</f>
        <v/>
      </c>
      <c r="D214" s="38">
        <f>IFERROR(EDATE(DATE(VALUE(RIGHT(D5,4)),MATCH(LEFT(D5,3),{"Jan","Fev","Mar","Abr","Mai","Jun","Jul","Ago","Set","Out","Nov","Dez"},0),5),200),"—")</f>
        <v/>
      </c>
      <c r="E214" s="39">
        <f>$H$4</f>
        <v/>
      </c>
      <c r="F214" s="40">
        <f>IFERROR(F213-H213-J213,0)</f>
        <v/>
      </c>
      <c r="G214" s="41">
        <f>IF($H$4="PRICE",$L$4,IF($H$4="SAC",$L$5,0))</f>
        <v/>
      </c>
      <c r="H214" s="42">
        <f>IFERROR(IF($H$4="SAC",$D$4/$D$6,G214-I214-K214),0)</f>
        <v/>
      </c>
      <c r="I214" s="43">
        <f>IFERROR(F214*$D$7,0)</f>
        <v/>
      </c>
      <c r="J214" s="44" t="n"/>
      <c r="K214" s="45">
        <f>IFERROR($H$5,0)</f>
        <v/>
      </c>
      <c r="L214" s="46" t="n"/>
      <c r="M214" s="44" t="n"/>
      <c r="N214" s="47">
        <f>IFERROR(N213+M214,N213)</f>
        <v/>
      </c>
      <c r="O214" s="48">
        <f>IF(M214="","⏳ PENDENTE",IF(M214&gt;=G214,"✅ PAGO","⚠️ PARCIAL"))</f>
        <v/>
      </c>
    </row>
    <row r="215" ht="19" customHeight="1">
      <c r="A215" s="1" t="n"/>
      <c r="B215" s="49" t="n">
        <v>202</v>
      </c>
      <c r="C215" s="50">
        <f>IFERROR(TEXT(EDATE(DATE(VALUE(RIGHT(D5,4)),MATCH(LEFT(D5,3),{"Jan","Fev","Mar","Abr","Mai","Jun","Jul","Ago","Set","Out","Nov","Dez"},0),1),201),"mmm/yyyy")</f>
        <v/>
      </c>
      <c r="D215" s="51">
        <f>IFERROR(EDATE(DATE(VALUE(RIGHT(D5,4)),MATCH(LEFT(D5,3),{"Jan","Fev","Mar","Abr","Mai","Jun","Jul","Ago","Set","Out","Nov","Dez"},0),5),201),"—")</f>
        <v/>
      </c>
      <c r="E215" s="39">
        <f>$H$4</f>
        <v/>
      </c>
      <c r="F215" s="52">
        <f>IFERROR(F214-H214-J214,0)</f>
        <v/>
      </c>
      <c r="G215" s="53">
        <f>IF($H$4="PRICE",$L$4,IF($H$4="SAC",$L$5,0))</f>
        <v/>
      </c>
      <c r="H215" s="54">
        <f>IFERROR(IF($H$4="SAC",$D$4/$D$6,G215-I215-K215),0)</f>
        <v/>
      </c>
      <c r="I215" s="55">
        <f>IFERROR(F215*$D$7,0)</f>
        <v/>
      </c>
      <c r="J215" s="44" t="n"/>
      <c r="K215" s="56">
        <f>IFERROR($H$5,0)</f>
        <v/>
      </c>
      <c r="L215" s="46" t="n"/>
      <c r="M215" s="44" t="n"/>
      <c r="N215" s="47">
        <f>IFERROR(N214+M215,N214)</f>
        <v/>
      </c>
      <c r="O215" s="48">
        <f>IF(M215="","⏳ PENDENTE",IF(M215&gt;=G215,"✅ PAGO","⚠️ PARCIAL"))</f>
        <v/>
      </c>
    </row>
    <row r="216" ht="19" customHeight="1">
      <c r="A216" s="5" t="n"/>
      <c r="B216" s="36" t="n">
        <v>203</v>
      </c>
      <c r="C216" s="37">
        <f>IFERROR(TEXT(EDATE(DATE(VALUE(RIGHT(D5,4)),MATCH(LEFT(D5,3),{"Jan","Fev","Mar","Abr","Mai","Jun","Jul","Ago","Set","Out","Nov","Dez"},0),1),202),"mmm/yyyy")</f>
        <v/>
      </c>
      <c r="D216" s="38">
        <f>IFERROR(EDATE(DATE(VALUE(RIGHT(D5,4)),MATCH(LEFT(D5,3),{"Jan","Fev","Mar","Abr","Mai","Jun","Jul","Ago","Set","Out","Nov","Dez"},0),5),202),"—")</f>
        <v/>
      </c>
      <c r="E216" s="39">
        <f>$H$4</f>
        <v/>
      </c>
      <c r="F216" s="40">
        <f>IFERROR(F215-H215-J215,0)</f>
        <v/>
      </c>
      <c r="G216" s="41">
        <f>IF($H$4="PRICE",$L$4,IF($H$4="SAC",$L$5,0))</f>
        <v/>
      </c>
      <c r="H216" s="42">
        <f>IFERROR(IF($H$4="SAC",$D$4/$D$6,G216-I216-K216),0)</f>
        <v/>
      </c>
      <c r="I216" s="43">
        <f>IFERROR(F216*$D$7,0)</f>
        <v/>
      </c>
      <c r="J216" s="44" t="n"/>
      <c r="K216" s="45">
        <f>IFERROR($H$5,0)</f>
        <v/>
      </c>
      <c r="L216" s="46" t="n"/>
      <c r="M216" s="44" t="n"/>
      <c r="N216" s="47">
        <f>IFERROR(N215+M216,N215)</f>
        <v/>
      </c>
      <c r="O216" s="48">
        <f>IF(M216="","⏳ PENDENTE",IF(M216&gt;=G216,"✅ PAGO","⚠️ PARCIAL"))</f>
        <v/>
      </c>
    </row>
    <row r="217" ht="19" customHeight="1">
      <c r="A217" s="1" t="n"/>
      <c r="B217" s="49" t="n">
        <v>204</v>
      </c>
      <c r="C217" s="50">
        <f>IFERROR(TEXT(EDATE(DATE(VALUE(RIGHT(D5,4)),MATCH(LEFT(D5,3),{"Jan","Fev","Mar","Abr","Mai","Jun","Jul","Ago","Set","Out","Nov","Dez"},0),1),203),"mmm/yyyy")</f>
        <v/>
      </c>
      <c r="D217" s="51">
        <f>IFERROR(EDATE(DATE(VALUE(RIGHT(D5,4)),MATCH(LEFT(D5,3),{"Jan","Fev","Mar","Abr","Mai","Jun","Jul","Ago","Set","Out","Nov","Dez"},0),5),203),"—")</f>
        <v/>
      </c>
      <c r="E217" s="39">
        <f>$H$4</f>
        <v/>
      </c>
      <c r="F217" s="52">
        <f>IFERROR(F216-H216-J216,0)</f>
        <v/>
      </c>
      <c r="G217" s="53">
        <f>IF($H$4="PRICE",$L$4,IF($H$4="SAC",$L$5,0))</f>
        <v/>
      </c>
      <c r="H217" s="54">
        <f>IFERROR(IF($H$4="SAC",$D$4/$D$6,G217-I217-K217),0)</f>
        <v/>
      </c>
      <c r="I217" s="55">
        <f>IFERROR(F217*$D$7,0)</f>
        <v/>
      </c>
      <c r="J217" s="44" t="n"/>
      <c r="K217" s="56">
        <f>IFERROR($H$5,0)</f>
        <v/>
      </c>
      <c r="L217" s="46" t="n"/>
      <c r="M217" s="44" t="n"/>
      <c r="N217" s="47">
        <f>IFERROR(N216+M217,N216)</f>
        <v/>
      </c>
      <c r="O217" s="48">
        <f>IF(M217="","⏳ PENDENTE",IF(M217&gt;=G217,"✅ PAGO","⚠️ PARCIAL"))</f>
        <v/>
      </c>
    </row>
    <row r="218" ht="19" customHeight="1">
      <c r="A218" s="5" t="n"/>
      <c r="B218" s="36" t="n">
        <v>205</v>
      </c>
      <c r="C218" s="37">
        <f>IFERROR(TEXT(EDATE(DATE(VALUE(RIGHT(D5,4)),MATCH(LEFT(D5,3),{"Jan","Fev","Mar","Abr","Mai","Jun","Jul","Ago","Set","Out","Nov","Dez"},0),1),204),"mmm/yyyy")</f>
        <v/>
      </c>
      <c r="D218" s="38">
        <f>IFERROR(EDATE(DATE(VALUE(RIGHT(D5,4)),MATCH(LEFT(D5,3),{"Jan","Fev","Mar","Abr","Mai","Jun","Jul","Ago","Set","Out","Nov","Dez"},0),5),204),"—")</f>
        <v/>
      </c>
      <c r="E218" s="39">
        <f>$H$4</f>
        <v/>
      </c>
      <c r="F218" s="40">
        <f>IFERROR(F217-H217-J217,0)</f>
        <v/>
      </c>
      <c r="G218" s="41">
        <f>IF($H$4="PRICE",$L$4,IF($H$4="SAC",$L$5,0))</f>
        <v/>
      </c>
      <c r="H218" s="42">
        <f>IFERROR(IF($H$4="SAC",$D$4/$D$6,G218-I218-K218),0)</f>
        <v/>
      </c>
      <c r="I218" s="43">
        <f>IFERROR(F218*$D$7,0)</f>
        <v/>
      </c>
      <c r="J218" s="44" t="n"/>
      <c r="K218" s="45">
        <f>IFERROR($H$5,0)</f>
        <v/>
      </c>
      <c r="L218" s="46" t="n"/>
      <c r="M218" s="44" t="n"/>
      <c r="N218" s="47">
        <f>IFERROR(N217+M218,N217)</f>
        <v/>
      </c>
      <c r="O218" s="48">
        <f>IF(M218="","⏳ PENDENTE",IF(M218&gt;=G218,"✅ PAGO","⚠️ PARCIAL"))</f>
        <v/>
      </c>
    </row>
    <row r="219" ht="19" customHeight="1">
      <c r="A219" s="1" t="n"/>
      <c r="B219" s="49" t="n">
        <v>206</v>
      </c>
      <c r="C219" s="50">
        <f>IFERROR(TEXT(EDATE(DATE(VALUE(RIGHT(D5,4)),MATCH(LEFT(D5,3),{"Jan","Fev","Mar","Abr","Mai","Jun","Jul","Ago","Set","Out","Nov","Dez"},0),1),205),"mmm/yyyy")</f>
        <v/>
      </c>
      <c r="D219" s="51">
        <f>IFERROR(EDATE(DATE(VALUE(RIGHT(D5,4)),MATCH(LEFT(D5,3),{"Jan","Fev","Mar","Abr","Mai","Jun","Jul","Ago","Set","Out","Nov","Dez"},0),5),205),"—")</f>
        <v/>
      </c>
      <c r="E219" s="39">
        <f>$H$4</f>
        <v/>
      </c>
      <c r="F219" s="52">
        <f>IFERROR(F218-H218-J218,0)</f>
        <v/>
      </c>
      <c r="G219" s="53">
        <f>IF($H$4="PRICE",$L$4,IF($H$4="SAC",$L$5,0))</f>
        <v/>
      </c>
      <c r="H219" s="54">
        <f>IFERROR(IF($H$4="SAC",$D$4/$D$6,G219-I219-K219),0)</f>
        <v/>
      </c>
      <c r="I219" s="55">
        <f>IFERROR(F219*$D$7,0)</f>
        <v/>
      </c>
      <c r="J219" s="44" t="n"/>
      <c r="K219" s="56">
        <f>IFERROR($H$5,0)</f>
        <v/>
      </c>
      <c r="L219" s="46" t="n"/>
      <c r="M219" s="44" t="n"/>
      <c r="N219" s="47">
        <f>IFERROR(N218+M219,N218)</f>
        <v/>
      </c>
      <c r="O219" s="48">
        <f>IF(M219="","⏳ PENDENTE",IF(M219&gt;=G219,"✅ PAGO","⚠️ PARCIAL"))</f>
        <v/>
      </c>
    </row>
    <row r="220" ht="19" customHeight="1">
      <c r="A220" s="5" t="n"/>
      <c r="B220" s="36" t="n">
        <v>207</v>
      </c>
      <c r="C220" s="37">
        <f>IFERROR(TEXT(EDATE(DATE(VALUE(RIGHT(D5,4)),MATCH(LEFT(D5,3),{"Jan","Fev","Mar","Abr","Mai","Jun","Jul","Ago","Set","Out","Nov","Dez"},0),1),206),"mmm/yyyy")</f>
        <v/>
      </c>
      <c r="D220" s="38">
        <f>IFERROR(EDATE(DATE(VALUE(RIGHT(D5,4)),MATCH(LEFT(D5,3),{"Jan","Fev","Mar","Abr","Mai","Jun","Jul","Ago","Set","Out","Nov","Dez"},0),5),206),"—")</f>
        <v/>
      </c>
      <c r="E220" s="39">
        <f>$H$4</f>
        <v/>
      </c>
      <c r="F220" s="40">
        <f>IFERROR(F219-H219-J219,0)</f>
        <v/>
      </c>
      <c r="G220" s="41">
        <f>IF($H$4="PRICE",$L$4,IF($H$4="SAC",$L$5,0))</f>
        <v/>
      </c>
      <c r="H220" s="42">
        <f>IFERROR(IF($H$4="SAC",$D$4/$D$6,G220-I220-K220),0)</f>
        <v/>
      </c>
      <c r="I220" s="43">
        <f>IFERROR(F220*$D$7,0)</f>
        <v/>
      </c>
      <c r="J220" s="44" t="n"/>
      <c r="K220" s="45">
        <f>IFERROR($H$5,0)</f>
        <v/>
      </c>
      <c r="L220" s="46" t="n"/>
      <c r="M220" s="44" t="n"/>
      <c r="N220" s="47">
        <f>IFERROR(N219+M220,N219)</f>
        <v/>
      </c>
      <c r="O220" s="48">
        <f>IF(M220="","⏳ PENDENTE",IF(M220&gt;=G220,"✅ PAGO","⚠️ PARCIAL"))</f>
        <v/>
      </c>
    </row>
    <row r="221" ht="19" customHeight="1">
      <c r="A221" s="1" t="n"/>
      <c r="B221" s="49" t="n">
        <v>208</v>
      </c>
      <c r="C221" s="50">
        <f>IFERROR(TEXT(EDATE(DATE(VALUE(RIGHT(D5,4)),MATCH(LEFT(D5,3),{"Jan","Fev","Mar","Abr","Mai","Jun","Jul","Ago","Set","Out","Nov","Dez"},0),1),207),"mmm/yyyy")</f>
        <v/>
      </c>
      <c r="D221" s="51">
        <f>IFERROR(EDATE(DATE(VALUE(RIGHT(D5,4)),MATCH(LEFT(D5,3),{"Jan","Fev","Mar","Abr","Mai","Jun","Jul","Ago","Set","Out","Nov","Dez"},0),5),207),"—")</f>
        <v/>
      </c>
      <c r="E221" s="39">
        <f>$H$4</f>
        <v/>
      </c>
      <c r="F221" s="52">
        <f>IFERROR(F220-H220-J220,0)</f>
        <v/>
      </c>
      <c r="G221" s="53">
        <f>IF($H$4="PRICE",$L$4,IF($H$4="SAC",$L$5,0))</f>
        <v/>
      </c>
      <c r="H221" s="54">
        <f>IFERROR(IF($H$4="SAC",$D$4/$D$6,G221-I221-K221),0)</f>
        <v/>
      </c>
      <c r="I221" s="55">
        <f>IFERROR(F221*$D$7,0)</f>
        <v/>
      </c>
      <c r="J221" s="44" t="n"/>
      <c r="K221" s="56">
        <f>IFERROR($H$5,0)</f>
        <v/>
      </c>
      <c r="L221" s="46" t="n"/>
      <c r="M221" s="44" t="n"/>
      <c r="N221" s="47">
        <f>IFERROR(N220+M221,N220)</f>
        <v/>
      </c>
      <c r="O221" s="48">
        <f>IF(M221="","⏳ PENDENTE",IF(M221&gt;=G221,"✅ PAGO","⚠️ PARCIAL"))</f>
        <v/>
      </c>
    </row>
    <row r="222" ht="19" customHeight="1">
      <c r="A222" s="5" t="n"/>
      <c r="B222" s="36" t="n">
        <v>209</v>
      </c>
      <c r="C222" s="37">
        <f>IFERROR(TEXT(EDATE(DATE(VALUE(RIGHT(D5,4)),MATCH(LEFT(D5,3),{"Jan","Fev","Mar","Abr","Mai","Jun","Jul","Ago","Set","Out","Nov","Dez"},0),1),208),"mmm/yyyy")</f>
        <v/>
      </c>
      <c r="D222" s="38">
        <f>IFERROR(EDATE(DATE(VALUE(RIGHT(D5,4)),MATCH(LEFT(D5,3),{"Jan","Fev","Mar","Abr","Mai","Jun","Jul","Ago","Set","Out","Nov","Dez"},0),5),208),"—")</f>
        <v/>
      </c>
      <c r="E222" s="39">
        <f>$H$4</f>
        <v/>
      </c>
      <c r="F222" s="40">
        <f>IFERROR(F221-H221-J221,0)</f>
        <v/>
      </c>
      <c r="G222" s="41">
        <f>IF($H$4="PRICE",$L$4,IF($H$4="SAC",$L$5,0))</f>
        <v/>
      </c>
      <c r="H222" s="42">
        <f>IFERROR(IF($H$4="SAC",$D$4/$D$6,G222-I222-K222),0)</f>
        <v/>
      </c>
      <c r="I222" s="43">
        <f>IFERROR(F222*$D$7,0)</f>
        <v/>
      </c>
      <c r="J222" s="44" t="n"/>
      <c r="K222" s="45">
        <f>IFERROR($H$5,0)</f>
        <v/>
      </c>
      <c r="L222" s="46" t="n"/>
      <c r="M222" s="44" t="n"/>
      <c r="N222" s="47">
        <f>IFERROR(N221+M222,N221)</f>
        <v/>
      </c>
      <c r="O222" s="48">
        <f>IF(M222="","⏳ PENDENTE",IF(M222&gt;=G222,"✅ PAGO","⚠️ PARCIAL"))</f>
        <v/>
      </c>
    </row>
    <row r="223" ht="19" customHeight="1">
      <c r="A223" s="1" t="n"/>
      <c r="B223" s="49" t="n">
        <v>210</v>
      </c>
      <c r="C223" s="50">
        <f>IFERROR(TEXT(EDATE(DATE(VALUE(RIGHT(D5,4)),MATCH(LEFT(D5,3),{"Jan","Fev","Mar","Abr","Mai","Jun","Jul","Ago","Set","Out","Nov","Dez"},0),1),209),"mmm/yyyy")</f>
        <v/>
      </c>
      <c r="D223" s="51">
        <f>IFERROR(EDATE(DATE(VALUE(RIGHT(D5,4)),MATCH(LEFT(D5,3),{"Jan","Fev","Mar","Abr","Mai","Jun","Jul","Ago","Set","Out","Nov","Dez"},0),5),209),"—")</f>
        <v/>
      </c>
      <c r="E223" s="39">
        <f>$H$4</f>
        <v/>
      </c>
      <c r="F223" s="52">
        <f>IFERROR(F222-H222-J222,0)</f>
        <v/>
      </c>
      <c r="G223" s="53">
        <f>IF($H$4="PRICE",$L$4,IF($H$4="SAC",$L$5,0))</f>
        <v/>
      </c>
      <c r="H223" s="54">
        <f>IFERROR(IF($H$4="SAC",$D$4/$D$6,G223-I223-K223),0)</f>
        <v/>
      </c>
      <c r="I223" s="55">
        <f>IFERROR(F223*$D$7,0)</f>
        <v/>
      </c>
      <c r="J223" s="44" t="n"/>
      <c r="K223" s="56">
        <f>IFERROR($H$5,0)</f>
        <v/>
      </c>
      <c r="L223" s="46" t="n"/>
      <c r="M223" s="44" t="n"/>
      <c r="N223" s="47">
        <f>IFERROR(N222+M223,N222)</f>
        <v/>
      </c>
      <c r="O223" s="48">
        <f>IF(M223="","⏳ PENDENTE",IF(M223&gt;=G223,"✅ PAGO","⚠️ PARCIAL"))</f>
        <v/>
      </c>
    </row>
    <row r="224" ht="19" customHeight="1">
      <c r="A224" s="5" t="n"/>
      <c r="B224" s="36" t="n">
        <v>211</v>
      </c>
      <c r="C224" s="37">
        <f>IFERROR(TEXT(EDATE(DATE(VALUE(RIGHT(D5,4)),MATCH(LEFT(D5,3),{"Jan","Fev","Mar","Abr","Mai","Jun","Jul","Ago","Set","Out","Nov","Dez"},0),1),210),"mmm/yyyy")</f>
        <v/>
      </c>
      <c r="D224" s="38">
        <f>IFERROR(EDATE(DATE(VALUE(RIGHT(D5,4)),MATCH(LEFT(D5,3),{"Jan","Fev","Mar","Abr","Mai","Jun","Jul","Ago","Set","Out","Nov","Dez"},0),5),210),"—")</f>
        <v/>
      </c>
      <c r="E224" s="39">
        <f>$H$4</f>
        <v/>
      </c>
      <c r="F224" s="40">
        <f>IFERROR(F223-H223-J223,0)</f>
        <v/>
      </c>
      <c r="G224" s="41">
        <f>IF($H$4="PRICE",$L$4,IF($H$4="SAC",$L$5,0))</f>
        <v/>
      </c>
      <c r="H224" s="42">
        <f>IFERROR(IF($H$4="SAC",$D$4/$D$6,G224-I224-K224),0)</f>
        <v/>
      </c>
      <c r="I224" s="43">
        <f>IFERROR(F224*$D$7,0)</f>
        <v/>
      </c>
      <c r="J224" s="44" t="n"/>
      <c r="K224" s="45">
        <f>IFERROR($H$5,0)</f>
        <v/>
      </c>
      <c r="L224" s="46" t="n"/>
      <c r="M224" s="44" t="n"/>
      <c r="N224" s="47">
        <f>IFERROR(N223+M224,N223)</f>
        <v/>
      </c>
      <c r="O224" s="48">
        <f>IF(M224="","⏳ PENDENTE",IF(M224&gt;=G224,"✅ PAGO","⚠️ PARCIAL"))</f>
        <v/>
      </c>
    </row>
    <row r="225" ht="19" customHeight="1">
      <c r="A225" s="1" t="n"/>
      <c r="B225" s="49" t="n">
        <v>212</v>
      </c>
      <c r="C225" s="50">
        <f>IFERROR(TEXT(EDATE(DATE(VALUE(RIGHT(D5,4)),MATCH(LEFT(D5,3),{"Jan","Fev","Mar","Abr","Mai","Jun","Jul","Ago","Set","Out","Nov","Dez"},0),1),211),"mmm/yyyy")</f>
        <v/>
      </c>
      <c r="D225" s="51">
        <f>IFERROR(EDATE(DATE(VALUE(RIGHT(D5,4)),MATCH(LEFT(D5,3),{"Jan","Fev","Mar","Abr","Mai","Jun","Jul","Ago","Set","Out","Nov","Dez"},0),5),211),"—")</f>
        <v/>
      </c>
      <c r="E225" s="39">
        <f>$H$4</f>
        <v/>
      </c>
      <c r="F225" s="52">
        <f>IFERROR(F224-H224-J224,0)</f>
        <v/>
      </c>
      <c r="G225" s="53">
        <f>IF($H$4="PRICE",$L$4,IF($H$4="SAC",$L$5,0))</f>
        <v/>
      </c>
      <c r="H225" s="54">
        <f>IFERROR(IF($H$4="SAC",$D$4/$D$6,G225-I225-K225),0)</f>
        <v/>
      </c>
      <c r="I225" s="55">
        <f>IFERROR(F225*$D$7,0)</f>
        <v/>
      </c>
      <c r="J225" s="44" t="n"/>
      <c r="K225" s="56">
        <f>IFERROR($H$5,0)</f>
        <v/>
      </c>
      <c r="L225" s="46" t="n"/>
      <c r="M225" s="44" t="n"/>
      <c r="N225" s="47">
        <f>IFERROR(N224+M225,N224)</f>
        <v/>
      </c>
      <c r="O225" s="48">
        <f>IF(M225="","⏳ PENDENTE",IF(M225&gt;=G225,"✅ PAGO","⚠️ PARCIAL"))</f>
        <v/>
      </c>
    </row>
    <row r="226" ht="19" customHeight="1">
      <c r="A226" s="5" t="n"/>
      <c r="B226" s="36" t="n">
        <v>213</v>
      </c>
      <c r="C226" s="37">
        <f>IFERROR(TEXT(EDATE(DATE(VALUE(RIGHT(D5,4)),MATCH(LEFT(D5,3),{"Jan","Fev","Mar","Abr","Mai","Jun","Jul","Ago","Set","Out","Nov","Dez"},0),1),212),"mmm/yyyy")</f>
        <v/>
      </c>
      <c r="D226" s="38">
        <f>IFERROR(EDATE(DATE(VALUE(RIGHT(D5,4)),MATCH(LEFT(D5,3),{"Jan","Fev","Mar","Abr","Mai","Jun","Jul","Ago","Set","Out","Nov","Dez"},0),5),212),"—")</f>
        <v/>
      </c>
      <c r="E226" s="39">
        <f>$H$4</f>
        <v/>
      </c>
      <c r="F226" s="40">
        <f>IFERROR(F225-H225-J225,0)</f>
        <v/>
      </c>
      <c r="G226" s="41">
        <f>IF($H$4="PRICE",$L$4,IF($H$4="SAC",$L$5,0))</f>
        <v/>
      </c>
      <c r="H226" s="42">
        <f>IFERROR(IF($H$4="SAC",$D$4/$D$6,G226-I226-K226),0)</f>
        <v/>
      </c>
      <c r="I226" s="43">
        <f>IFERROR(F226*$D$7,0)</f>
        <v/>
      </c>
      <c r="J226" s="44" t="n"/>
      <c r="K226" s="45">
        <f>IFERROR($H$5,0)</f>
        <v/>
      </c>
      <c r="L226" s="46" t="n"/>
      <c r="M226" s="44" t="n"/>
      <c r="N226" s="47">
        <f>IFERROR(N225+M226,N225)</f>
        <v/>
      </c>
      <c r="O226" s="48">
        <f>IF(M226="","⏳ PENDENTE",IF(M226&gt;=G226,"✅ PAGO","⚠️ PARCIAL"))</f>
        <v/>
      </c>
    </row>
    <row r="227" ht="19" customHeight="1">
      <c r="A227" s="1" t="n"/>
      <c r="B227" s="49" t="n">
        <v>214</v>
      </c>
      <c r="C227" s="50">
        <f>IFERROR(TEXT(EDATE(DATE(VALUE(RIGHT(D5,4)),MATCH(LEFT(D5,3),{"Jan","Fev","Mar","Abr","Mai","Jun","Jul","Ago","Set","Out","Nov","Dez"},0),1),213),"mmm/yyyy")</f>
        <v/>
      </c>
      <c r="D227" s="51">
        <f>IFERROR(EDATE(DATE(VALUE(RIGHT(D5,4)),MATCH(LEFT(D5,3),{"Jan","Fev","Mar","Abr","Mai","Jun","Jul","Ago","Set","Out","Nov","Dez"},0),5),213),"—")</f>
        <v/>
      </c>
      <c r="E227" s="39">
        <f>$H$4</f>
        <v/>
      </c>
      <c r="F227" s="52">
        <f>IFERROR(F226-H226-J226,0)</f>
        <v/>
      </c>
      <c r="G227" s="53">
        <f>IF($H$4="PRICE",$L$4,IF($H$4="SAC",$L$5,0))</f>
        <v/>
      </c>
      <c r="H227" s="54">
        <f>IFERROR(IF($H$4="SAC",$D$4/$D$6,G227-I227-K227),0)</f>
        <v/>
      </c>
      <c r="I227" s="55">
        <f>IFERROR(F227*$D$7,0)</f>
        <v/>
      </c>
      <c r="J227" s="44" t="n"/>
      <c r="K227" s="56">
        <f>IFERROR($H$5,0)</f>
        <v/>
      </c>
      <c r="L227" s="46" t="n"/>
      <c r="M227" s="44" t="n"/>
      <c r="N227" s="47">
        <f>IFERROR(N226+M227,N226)</f>
        <v/>
      </c>
      <c r="O227" s="48">
        <f>IF(M227="","⏳ PENDENTE",IF(M227&gt;=G227,"✅ PAGO","⚠️ PARCIAL"))</f>
        <v/>
      </c>
    </row>
    <row r="228" ht="19" customHeight="1">
      <c r="A228" s="5" t="n"/>
      <c r="B228" s="36" t="n">
        <v>215</v>
      </c>
      <c r="C228" s="37">
        <f>IFERROR(TEXT(EDATE(DATE(VALUE(RIGHT(D5,4)),MATCH(LEFT(D5,3),{"Jan","Fev","Mar","Abr","Mai","Jun","Jul","Ago","Set","Out","Nov","Dez"},0),1),214),"mmm/yyyy")</f>
        <v/>
      </c>
      <c r="D228" s="38">
        <f>IFERROR(EDATE(DATE(VALUE(RIGHT(D5,4)),MATCH(LEFT(D5,3),{"Jan","Fev","Mar","Abr","Mai","Jun","Jul","Ago","Set","Out","Nov","Dez"},0),5),214),"—")</f>
        <v/>
      </c>
      <c r="E228" s="39">
        <f>$H$4</f>
        <v/>
      </c>
      <c r="F228" s="40">
        <f>IFERROR(F227-H227-J227,0)</f>
        <v/>
      </c>
      <c r="G228" s="41">
        <f>IF($H$4="PRICE",$L$4,IF($H$4="SAC",$L$5,0))</f>
        <v/>
      </c>
      <c r="H228" s="42">
        <f>IFERROR(IF($H$4="SAC",$D$4/$D$6,G228-I228-K228),0)</f>
        <v/>
      </c>
      <c r="I228" s="43">
        <f>IFERROR(F228*$D$7,0)</f>
        <v/>
      </c>
      <c r="J228" s="44" t="n"/>
      <c r="K228" s="45">
        <f>IFERROR($H$5,0)</f>
        <v/>
      </c>
      <c r="L228" s="46" t="n"/>
      <c r="M228" s="44" t="n"/>
      <c r="N228" s="47">
        <f>IFERROR(N227+M228,N227)</f>
        <v/>
      </c>
      <c r="O228" s="48">
        <f>IF(M228="","⏳ PENDENTE",IF(M228&gt;=G228,"✅ PAGO","⚠️ PARCIAL"))</f>
        <v/>
      </c>
    </row>
    <row r="229" ht="19" customHeight="1">
      <c r="A229" s="1" t="n"/>
      <c r="B229" s="49" t="n">
        <v>216</v>
      </c>
      <c r="C229" s="50">
        <f>IFERROR(TEXT(EDATE(DATE(VALUE(RIGHT(D5,4)),MATCH(LEFT(D5,3),{"Jan","Fev","Mar","Abr","Mai","Jun","Jul","Ago","Set","Out","Nov","Dez"},0),1),215),"mmm/yyyy")</f>
        <v/>
      </c>
      <c r="D229" s="51">
        <f>IFERROR(EDATE(DATE(VALUE(RIGHT(D5,4)),MATCH(LEFT(D5,3),{"Jan","Fev","Mar","Abr","Mai","Jun","Jul","Ago","Set","Out","Nov","Dez"},0),5),215),"—")</f>
        <v/>
      </c>
      <c r="E229" s="39">
        <f>$H$4</f>
        <v/>
      </c>
      <c r="F229" s="52">
        <f>IFERROR(F228-H228-J228,0)</f>
        <v/>
      </c>
      <c r="G229" s="53">
        <f>IF($H$4="PRICE",$L$4,IF($H$4="SAC",$L$5,0))</f>
        <v/>
      </c>
      <c r="H229" s="54">
        <f>IFERROR(IF($H$4="SAC",$D$4/$D$6,G229-I229-K229),0)</f>
        <v/>
      </c>
      <c r="I229" s="55">
        <f>IFERROR(F229*$D$7,0)</f>
        <v/>
      </c>
      <c r="J229" s="44" t="n"/>
      <c r="K229" s="56">
        <f>IFERROR($H$5,0)</f>
        <v/>
      </c>
      <c r="L229" s="46" t="n"/>
      <c r="M229" s="44" t="n"/>
      <c r="N229" s="47">
        <f>IFERROR(N228+M229,N228)</f>
        <v/>
      </c>
      <c r="O229" s="48">
        <f>IF(M229="","⏳ PENDENTE",IF(M229&gt;=G229,"✅ PAGO","⚠️ PARCIAL"))</f>
        <v/>
      </c>
    </row>
    <row r="230" ht="19" customHeight="1">
      <c r="A230" s="5" t="n"/>
      <c r="B230" s="36" t="n">
        <v>217</v>
      </c>
      <c r="C230" s="37">
        <f>IFERROR(TEXT(EDATE(DATE(VALUE(RIGHT(D5,4)),MATCH(LEFT(D5,3),{"Jan","Fev","Mar","Abr","Mai","Jun","Jul","Ago","Set","Out","Nov","Dez"},0),1),216),"mmm/yyyy")</f>
        <v/>
      </c>
      <c r="D230" s="38">
        <f>IFERROR(EDATE(DATE(VALUE(RIGHT(D5,4)),MATCH(LEFT(D5,3),{"Jan","Fev","Mar","Abr","Mai","Jun","Jul","Ago","Set","Out","Nov","Dez"},0),5),216),"—")</f>
        <v/>
      </c>
      <c r="E230" s="39">
        <f>$H$4</f>
        <v/>
      </c>
      <c r="F230" s="40">
        <f>IFERROR(F229-H229-J229,0)</f>
        <v/>
      </c>
      <c r="G230" s="41">
        <f>IF($H$4="PRICE",$L$4,IF($H$4="SAC",$L$5,0))</f>
        <v/>
      </c>
      <c r="H230" s="42">
        <f>IFERROR(IF($H$4="SAC",$D$4/$D$6,G230-I230-K230),0)</f>
        <v/>
      </c>
      <c r="I230" s="43">
        <f>IFERROR(F230*$D$7,0)</f>
        <v/>
      </c>
      <c r="J230" s="44" t="n"/>
      <c r="K230" s="45">
        <f>IFERROR($H$5,0)</f>
        <v/>
      </c>
      <c r="L230" s="46" t="n"/>
      <c r="M230" s="44" t="n"/>
      <c r="N230" s="47">
        <f>IFERROR(N229+M230,N229)</f>
        <v/>
      </c>
      <c r="O230" s="48">
        <f>IF(M230="","⏳ PENDENTE",IF(M230&gt;=G230,"✅ PAGO","⚠️ PARCIAL"))</f>
        <v/>
      </c>
    </row>
    <row r="231" ht="19" customHeight="1">
      <c r="A231" s="1" t="n"/>
      <c r="B231" s="49" t="n">
        <v>218</v>
      </c>
      <c r="C231" s="50">
        <f>IFERROR(TEXT(EDATE(DATE(VALUE(RIGHT(D5,4)),MATCH(LEFT(D5,3),{"Jan","Fev","Mar","Abr","Mai","Jun","Jul","Ago","Set","Out","Nov","Dez"},0),1),217),"mmm/yyyy")</f>
        <v/>
      </c>
      <c r="D231" s="51">
        <f>IFERROR(EDATE(DATE(VALUE(RIGHT(D5,4)),MATCH(LEFT(D5,3),{"Jan","Fev","Mar","Abr","Mai","Jun","Jul","Ago","Set","Out","Nov","Dez"},0),5),217),"—")</f>
        <v/>
      </c>
      <c r="E231" s="39">
        <f>$H$4</f>
        <v/>
      </c>
      <c r="F231" s="52">
        <f>IFERROR(F230-H230-J230,0)</f>
        <v/>
      </c>
      <c r="G231" s="53">
        <f>IF($H$4="PRICE",$L$4,IF($H$4="SAC",$L$5,0))</f>
        <v/>
      </c>
      <c r="H231" s="54">
        <f>IFERROR(IF($H$4="SAC",$D$4/$D$6,G231-I231-K231),0)</f>
        <v/>
      </c>
      <c r="I231" s="55">
        <f>IFERROR(F231*$D$7,0)</f>
        <v/>
      </c>
      <c r="J231" s="44" t="n"/>
      <c r="K231" s="56">
        <f>IFERROR($H$5,0)</f>
        <v/>
      </c>
      <c r="L231" s="46" t="n"/>
      <c r="M231" s="44" t="n"/>
      <c r="N231" s="47">
        <f>IFERROR(N230+M231,N230)</f>
        <v/>
      </c>
      <c r="O231" s="48">
        <f>IF(M231="","⏳ PENDENTE",IF(M231&gt;=G231,"✅ PAGO","⚠️ PARCIAL"))</f>
        <v/>
      </c>
    </row>
    <row r="232" ht="19" customHeight="1">
      <c r="A232" s="5" t="n"/>
      <c r="B232" s="36" t="n">
        <v>219</v>
      </c>
      <c r="C232" s="37">
        <f>IFERROR(TEXT(EDATE(DATE(VALUE(RIGHT(D5,4)),MATCH(LEFT(D5,3),{"Jan","Fev","Mar","Abr","Mai","Jun","Jul","Ago","Set","Out","Nov","Dez"},0),1),218),"mmm/yyyy")</f>
        <v/>
      </c>
      <c r="D232" s="38">
        <f>IFERROR(EDATE(DATE(VALUE(RIGHT(D5,4)),MATCH(LEFT(D5,3),{"Jan","Fev","Mar","Abr","Mai","Jun","Jul","Ago","Set","Out","Nov","Dez"},0),5),218),"—")</f>
        <v/>
      </c>
      <c r="E232" s="39">
        <f>$H$4</f>
        <v/>
      </c>
      <c r="F232" s="40">
        <f>IFERROR(F231-H231-J231,0)</f>
        <v/>
      </c>
      <c r="G232" s="41">
        <f>IF($H$4="PRICE",$L$4,IF($H$4="SAC",$L$5,0))</f>
        <v/>
      </c>
      <c r="H232" s="42">
        <f>IFERROR(IF($H$4="SAC",$D$4/$D$6,G232-I232-K232),0)</f>
        <v/>
      </c>
      <c r="I232" s="43">
        <f>IFERROR(F232*$D$7,0)</f>
        <v/>
      </c>
      <c r="J232" s="44" t="n"/>
      <c r="K232" s="45">
        <f>IFERROR($H$5,0)</f>
        <v/>
      </c>
      <c r="L232" s="46" t="n"/>
      <c r="M232" s="44" t="n"/>
      <c r="N232" s="47">
        <f>IFERROR(N231+M232,N231)</f>
        <v/>
      </c>
      <c r="O232" s="48">
        <f>IF(M232="","⏳ PENDENTE",IF(M232&gt;=G232,"✅ PAGO","⚠️ PARCIAL"))</f>
        <v/>
      </c>
    </row>
    <row r="233" ht="19" customHeight="1">
      <c r="A233" s="1" t="n"/>
      <c r="B233" s="49" t="n">
        <v>220</v>
      </c>
      <c r="C233" s="50">
        <f>IFERROR(TEXT(EDATE(DATE(VALUE(RIGHT(D5,4)),MATCH(LEFT(D5,3),{"Jan","Fev","Mar","Abr","Mai","Jun","Jul","Ago","Set","Out","Nov","Dez"},0),1),219),"mmm/yyyy")</f>
        <v/>
      </c>
      <c r="D233" s="51">
        <f>IFERROR(EDATE(DATE(VALUE(RIGHT(D5,4)),MATCH(LEFT(D5,3),{"Jan","Fev","Mar","Abr","Mai","Jun","Jul","Ago","Set","Out","Nov","Dez"},0),5),219),"—")</f>
        <v/>
      </c>
      <c r="E233" s="39">
        <f>$H$4</f>
        <v/>
      </c>
      <c r="F233" s="52">
        <f>IFERROR(F232-H232-J232,0)</f>
        <v/>
      </c>
      <c r="G233" s="53">
        <f>IF($H$4="PRICE",$L$4,IF($H$4="SAC",$L$5,0))</f>
        <v/>
      </c>
      <c r="H233" s="54">
        <f>IFERROR(IF($H$4="SAC",$D$4/$D$6,G233-I233-K233),0)</f>
        <v/>
      </c>
      <c r="I233" s="55">
        <f>IFERROR(F233*$D$7,0)</f>
        <v/>
      </c>
      <c r="J233" s="44" t="n"/>
      <c r="K233" s="56">
        <f>IFERROR($H$5,0)</f>
        <v/>
      </c>
      <c r="L233" s="46" t="n"/>
      <c r="M233" s="44" t="n"/>
      <c r="N233" s="47">
        <f>IFERROR(N232+M233,N232)</f>
        <v/>
      </c>
      <c r="O233" s="48">
        <f>IF(M233="","⏳ PENDENTE",IF(M233&gt;=G233,"✅ PAGO","⚠️ PARCIAL"))</f>
        <v/>
      </c>
    </row>
    <row r="234" ht="19" customHeight="1">
      <c r="A234" s="5" t="n"/>
      <c r="B234" s="36" t="n">
        <v>221</v>
      </c>
      <c r="C234" s="37">
        <f>IFERROR(TEXT(EDATE(DATE(VALUE(RIGHT(D5,4)),MATCH(LEFT(D5,3),{"Jan","Fev","Mar","Abr","Mai","Jun","Jul","Ago","Set","Out","Nov","Dez"},0),1),220),"mmm/yyyy")</f>
        <v/>
      </c>
      <c r="D234" s="38">
        <f>IFERROR(EDATE(DATE(VALUE(RIGHT(D5,4)),MATCH(LEFT(D5,3),{"Jan","Fev","Mar","Abr","Mai","Jun","Jul","Ago","Set","Out","Nov","Dez"},0),5),220),"—")</f>
        <v/>
      </c>
      <c r="E234" s="39">
        <f>$H$4</f>
        <v/>
      </c>
      <c r="F234" s="40">
        <f>IFERROR(F233-H233-J233,0)</f>
        <v/>
      </c>
      <c r="G234" s="41">
        <f>IF($H$4="PRICE",$L$4,IF($H$4="SAC",$L$5,0))</f>
        <v/>
      </c>
      <c r="H234" s="42">
        <f>IFERROR(IF($H$4="SAC",$D$4/$D$6,G234-I234-K234),0)</f>
        <v/>
      </c>
      <c r="I234" s="43">
        <f>IFERROR(F234*$D$7,0)</f>
        <v/>
      </c>
      <c r="J234" s="44" t="n"/>
      <c r="K234" s="45">
        <f>IFERROR($H$5,0)</f>
        <v/>
      </c>
      <c r="L234" s="46" t="n"/>
      <c r="M234" s="44" t="n"/>
      <c r="N234" s="47">
        <f>IFERROR(N233+M234,N233)</f>
        <v/>
      </c>
      <c r="O234" s="48">
        <f>IF(M234="","⏳ PENDENTE",IF(M234&gt;=G234,"✅ PAGO","⚠️ PARCIAL"))</f>
        <v/>
      </c>
    </row>
    <row r="235" ht="19" customHeight="1">
      <c r="A235" s="1" t="n"/>
      <c r="B235" s="49" t="n">
        <v>222</v>
      </c>
      <c r="C235" s="50">
        <f>IFERROR(TEXT(EDATE(DATE(VALUE(RIGHT(D5,4)),MATCH(LEFT(D5,3),{"Jan","Fev","Mar","Abr","Mai","Jun","Jul","Ago","Set","Out","Nov","Dez"},0),1),221),"mmm/yyyy")</f>
        <v/>
      </c>
      <c r="D235" s="51">
        <f>IFERROR(EDATE(DATE(VALUE(RIGHT(D5,4)),MATCH(LEFT(D5,3),{"Jan","Fev","Mar","Abr","Mai","Jun","Jul","Ago","Set","Out","Nov","Dez"},0),5),221),"—")</f>
        <v/>
      </c>
      <c r="E235" s="39">
        <f>$H$4</f>
        <v/>
      </c>
      <c r="F235" s="52">
        <f>IFERROR(F234-H234-J234,0)</f>
        <v/>
      </c>
      <c r="G235" s="53">
        <f>IF($H$4="PRICE",$L$4,IF($H$4="SAC",$L$5,0))</f>
        <v/>
      </c>
      <c r="H235" s="54">
        <f>IFERROR(IF($H$4="SAC",$D$4/$D$6,G235-I235-K235),0)</f>
        <v/>
      </c>
      <c r="I235" s="55">
        <f>IFERROR(F235*$D$7,0)</f>
        <v/>
      </c>
      <c r="J235" s="44" t="n"/>
      <c r="K235" s="56">
        <f>IFERROR($H$5,0)</f>
        <v/>
      </c>
      <c r="L235" s="46" t="n"/>
      <c r="M235" s="44" t="n"/>
      <c r="N235" s="47">
        <f>IFERROR(N234+M235,N234)</f>
        <v/>
      </c>
      <c r="O235" s="48">
        <f>IF(M235="","⏳ PENDENTE",IF(M235&gt;=G235,"✅ PAGO","⚠️ PARCIAL"))</f>
        <v/>
      </c>
    </row>
    <row r="236" ht="19" customHeight="1">
      <c r="A236" s="5" t="n"/>
      <c r="B236" s="36" t="n">
        <v>223</v>
      </c>
      <c r="C236" s="37">
        <f>IFERROR(TEXT(EDATE(DATE(VALUE(RIGHT(D5,4)),MATCH(LEFT(D5,3),{"Jan","Fev","Mar","Abr","Mai","Jun","Jul","Ago","Set","Out","Nov","Dez"},0),1),222),"mmm/yyyy")</f>
        <v/>
      </c>
      <c r="D236" s="38">
        <f>IFERROR(EDATE(DATE(VALUE(RIGHT(D5,4)),MATCH(LEFT(D5,3),{"Jan","Fev","Mar","Abr","Mai","Jun","Jul","Ago","Set","Out","Nov","Dez"},0),5),222),"—")</f>
        <v/>
      </c>
      <c r="E236" s="39">
        <f>$H$4</f>
        <v/>
      </c>
      <c r="F236" s="40">
        <f>IFERROR(F235-H235-J235,0)</f>
        <v/>
      </c>
      <c r="G236" s="41">
        <f>IF($H$4="PRICE",$L$4,IF($H$4="SAC",$L$5,0))</f>
        <v/>
      </c>
      <c r="H236" s="42">
        <f>IFERROR(IF($H$4="SAC",$D$4/$D$6,G236-I236-K236),0)</f>
        <v/>
      </c>
      <c r="I236" s="43">
        <f>IFERROR(F236*$D$7,0)</f>
        <v/>
      </c>
      <c r="J236" s="44" t="n"/>
      <c r="K236" s="45">
        <f>IFERROR($H$5,0)</f>
        <v/>
      </c>
      <c r="L236" s="46" t="n"/>
      <c r="M236" s="44" t="n"/>
      <c r="N236" s="47">
        <f>IFERROR(N235+M236,N235)</f>
        <v/>
      </c>
      <c r="O236" s="48">
        <f>IF(M236="","⏳ PENDENTE",IF(M236&gt;=G236,"✅ PAGO","⚠️ PARCIAL"))</f>
        <v/>
      </c>
    </row>
    <row r="237" ht="19" customHeight="1">
      <c r="A237" s="1" t="n"/>
      <c r="B237" s="49" t="n">
        <v>224</v>
      </c>
      <c r="C237" s="50">
        <f>IFERROR(TEXT(EDATE(DATE(VALUE(RIGHT(D5,4)),MATCH(LEFT(D5,3),{"Jan","Fev","Mar","Abr","Mai","Jun","Jul","Ago","Set","Out","Nov","Dez"},0),1),223),"mmm/yyyy")</f>
        <v/>
      </c>
      <c r="D237" s="51">
        <f>IFERROR(EDATE(DATE(VALUE(RIGHT(D5,4)),MATCH(LEFT(D5,3),{"Jan","Fev","Mar","Abr","Mai","Jun","Jul","Ago","Set","Out","Nov","Dez"},0),5),223),"—")</f>
        <v/>
      </c>
      <c r="E237" s="39">
        <f>$H$4</f>
        <v/>
      </c>
      <c r="F237" s="52">
        <f>IFERROR(F236-H236-J236,0)</f>
        <v/>
      </c>
      <c r="G237" s="53">
        <f>IF($H$4="PRICE",$L$4,IF($H$4="SAC",$L$5,0))</f>
        <v/>
      </c>
      <c r="H237" s="54">
        <f>IFERROR(IF($H$4="SAC",$D$4/$D$6,G237-I237-K237),0)</f>
        <v/>
      </c>
      <c r="I237" s="55">
        <f>IFERROR(F237*$D$7,0)</f>
        <v/>
      </c>
      <c r="J237" s="44" t="n"/>
      <c r="K237" s="56">
        <f>IFERROR($H$5,0)</f>
        <v/>
      </c>
      <c r="L237" s="46" t="n"/>
      <c r="M237" s="44" t="n"/>
      <c r="N237" s="47">
        <f>IFERROR(N236+M237,N236)</f>
        <v/>
      </c>
      <c r="O237" s="48">
        <f>IF(M237="","⏳ PENDENTE",IF(M237&gt;=G237,"✅ PAGO","⚠️ PARCIAL"))</f>
        <v/>
      </c>
    </row>
    <row r="238" ht="19" customHeight="1">
      <c r="A238" s="5" t="n"/>
      <c r="B238" s="36" t="n">
        <v>225</v>
      </c>
      <c r="C238" s="37">
        <f>IFERROR(TEXT(EDATE(DATE(VALUE(RIGHT(D5,4)),MATCH(LEFT(D5,3),{"Jan","Fev","Mar","Abr","Mai","Jun","Jul","Ago","Set","Out","Nov","Dez"},0),1),224),"mmm/yyyy")</f>
        <v/>
      </c>
      <c r="D238" s="38">
        <f>IFERROR(EDATE(DATE(VALUE(RIGHT(D5,4)),MATCH(LEFT(D5,3),{"Jan","Fev","Mar","Abr","Mai","Jun","Jul","Ago","Set","Out","Nov","Dez"},0),5),224),"—")</f>
        <v/>
      </c>
      <c r="E238" s="39">
        <f>$H$4</f>
        <v/>
      </c>
      <c r="F238" s="40">
        <f>IFERROR(F237-H237-J237,0)</f>
        <v/>
      </c>
      <c r="G238" s="41">
        <f>IF($H$4="PRICE",$L$4,IF($H$4="SAC",$L$5,0))</f>
        <v/>
      </c>
      <c r="H238" s="42">
        <f>IFERROR(IF($H$4="SAC",$D$4/$D$6,G238-I238-K238),0)</f>
        <v/>
      </c>
      <c r="I238" s="43">
        <f>IFERROR(F238*$D$7,0)</f>
        <v/>
      </c>
      <c r="J238" s="44" t="n"/>
      <c r="K238" s="45">
        <f>IFERROR($H$5,0)</f>
        <v/>
      </c>
      <c r="L238" s="46" t="n"/>
      <c r="M238" s="44" t="n"/>
      <c r="N238" s="47">
        <f>IFERROR(N237+M238,N237)</f>
        <v/>
      </c>
      <c r="O238" s="48">
        <f>IF(M238="","⏳ PENDENTE",IF(M238&gt;=G238,"✅ PAGO","⚠️ PARCIAL"))</f>
        <v/>
      </c>
    </row>
    <row r="239" ht="19" customHeight="1">
      <c r="A239" s="1" t="n"/>
      <c r="B239" s="49" t="n">
        <v>226</v>
      </c>
      <c r="C239" s="50">
        <f>IFERROR(TEXT(EDATE(DATE(VALUE(RIGHT(D5,4)),MATCH(LEFT(D5,3),{"Jan","Fev","Mar","Abr","Mai","Jun","Jul","Ago","Set","Out","Nov","Dez"},0),1),225),"mmm/yyyy")</f>
        <v/>
      </c>
      <c r="D239" s="51">
        <f>IFERROR(EDATE(DATE(VALUE(RIGHT(D5,4)),MATCH(LEFT(D5,3),{"Jan","Fev","Mar","Abr","Mai","Jun","Jul","Ago","Set","Out","Nov","Dez"},0),5),225),"—")</f>
        <v/>
      </c>
      <c r="E239" s="39">
        <f>$H$4</f>
        <v/>
      </c>
      <c r="F239" s="52">
        <f>IFERROR(F238-H238-J238,0)</f>
        <v/>
      </c>
      <c r="G239" s="53">
        <f>IF($H$4="PRICE",$L$4,IF($H$4="SAC",$L$5,0))</f>
        <v/>
      </c>
      <c r="H239" s="54">
        <f>IFERROR(IF($H$4="SAC",$D$4/$D$6,G239-I239-K239),0)</f>
        <v/>
      </c>
      <c r="I239" s="55">
        <f>IFERROR(F239*$D$7,0)</f>
        <v/>
      </c>
      <c r="J239" s="44" t="n"/>
      <c r="K239" s="56">
        <f>IFERROR($H$5,0)</f>
        <v/>
      </c>
      <c r="L239" s="46" t="n"/>
      <c r="M239" s="44" t="n"/>
      <c r="N239" s="47">
        <f>IFERROR(N238+M239,N238)</f>
        <v/>
      </c>
      <c r="O239" s="48">
        <f>IF(M239="","⏳ PENDENTE",IF(M239&gt;=G239,"✅ PAGO","⚠️ PARCIAL"))</f>
        <v/>
      </c>
    </row>
    <row r="240" ht="19" customHeight="1">
      <c r="A240" s="5" t="n"/>
      <c r="B240" s="36" t="n">
        <v>227</v>
      </c>
      <c r="C240" s="37">
        <f>IFERROR(TEXT(EDATE(DATE(VALUE(RIGHT(D5,4)),MATCH(LEFT(D5,3),{"Jan","Fev","Mar","Abr","Mai","Jun","Jul","Ago","Set","Out","Nov","Dez"},0),1),226),"mmm/yyyy")</f>
        <v/>
      </c>
      <c r="D240" s="38">
        <f>IFERROR(EDATE(DATE(VALUE(RIGHT(D5,4)),MATCH(LEFT(D5,3),{"Jan","Fev","Mar","Abr","Mai","Jun","Jul","Ago","Set","Out","Nov","Dez"},0),5),226),"—")</f>
        <v/>
      </c>
      <c r="E240" s="39">
        <f>$H$4</f>
        <v/>
      </c>
      <c r="F240" s="40">
        <f>IFERROR(F239-H239-J239,0)</f>
        <v/>
      </c>
      <c r="G240" s="41">
        <f>IF($H$4="PRICE",$L$4,IF($H$4="SAC",$L$5,0))</f>
        <v/>
      </c>
      <c r="H240" s="42">
        <f>IFERROR(IF($H$4="SAC",$D$4/$D$6,G240-I240-K240),0)</f>
        <v/>
      </c>
      <c r="I240" s="43">
        <f>IFERROR(F240*$D$7,0)</f>
        <v/>
      </c>
      <c r="J240" s="44" t="n"/>
      <c r="K240" s="45">
        <f>IFERROR($H$5,0)</f>
        <v/>
      </c>
      <c r="L240" s="46" t="n"/>
      <c r="M240" s="44" t="n"/>
      <c r="N240" s="47">
        <f>IFERROR(N239+M240,N239)</f>
        <v/>
      </c>
      <c r="O240" s="48">
        <f>IF(M240="","⏳ PENDENTE",IF(M240&gt;=G240,"✅ PAGO","⚠️ PARCIAL"))</f>
        <v/>
      </c>
    </row>
    <row r="241" ht="19" customHeight="1">
      <c r="A241" s="1" t="n"/>
      <c r="B241" s="49" t="n">
        <v>228</v>
      </c>
      <c r="C241" s="50">
        <f>IFERROR(TEXT(EDATE(DATE(VALUE(RIGHT(D5,4)),MATCH(LEFT(D5,3),{"Jan","Fev","Mar","Abr","Mai","Jun","Jul","Ago","Set","Out","Nov","Dez"},0),1),227),"mmm/yyyy")</f>
        <v/>
      </c>
      <c r="D241" s="51">
        <f>IFERROR(EDATE(DATE(VALUE(RIGHT(D5,4)),MATCH(LEFT(D5,3),{"Jan","Fev","Mar","Abr","Mai","Jun","Jul","Ago","Set","Out","Nov","Dez"},0),5),227),"—")</f>
        <v/>
      </c>
      <c r="E241" s="39">
        <f>$H$4</f>
        <v/>
      </c>
      <c r="F241" s="52">
        <f>IFERROR(F240-H240-J240,0)</f>
        <v/>
      </c>
      <c r="G241" s="53">
        <f>IF($H$4="PRICE",$L$4,IF($H$4="SAC",$L$5,0))</f>
        <v/>
      </c>
      <c r="H241" s="54">
        <f>IFERROR(IF($H$4="SAC",$D$4/$D$6,G241-I241-K241),0)</f>
        <v/>
      </c>
      <c r="I241" s="55">
        <f>IFERROR(F241*$D$7,0)</f>
        <v/>
      </c>
      <c r="J241" s="44" t="n"/>
      <c r="K241" s="56">
        <f>IFERROR($H$5,0)</f>
        <v/>
      </c>
      <c r="L241" s="46" t="n"/>
      <c r="M241" s="44" t="n"/>
      <c r="N241" s="47">
        <f>IFERROR(N240+M241,N240)</f>
        <v/>
      </c>
      <c r="O241" s="48">
        <f>IF(M241="","⏳ PENDENTE",IF(M241&gt;=G241,"✅ PAGO","⚠️ PARCIAL"))</f>
        <v/>
      </c>
    </row>
    <row r="242" ht="19" customHeight="1">
      <c r="A242" s="5" t="n"/>
      <c r="B242" s="36" t="n">
        <v>229</v>
      </c>
      <c r="C242" s="37">
        <f>IFERROR(TEXT(EDATE(DATE(VALUE(RIGHT(D5,4)),MATCH(LEFT(D5,3),{"Jan","Fev","Mar","Abr","Mai","Jun","Jul","Ago","Set","Out","Nov","Dez"},0),1),228),"mmm/yyyy")</f>
        <v/>
      </c>
      <c r="D242" s="38">
        <f>IFERROR(EDATE(DATE(VALUE(RIGHT(D5,4)),MATCH(LEFT(D5,3),{"Jan","Fev","Mar","Abr","Mai","Jun","Jul","Ago","Set","Out","Nov","Dez"},0),5),228),"—")</f>
        <v/>
      </c>
      <c r="E242" s="39">
        <f>$H$4</f>
        <v/>
      </c>
      <c r="F242" s="40">
        <f>IFERROR(F241-H241-J241,0)</f>
        <v/>
      </c>
      <c r="G242" s="41">
        <f>IF($H$4="PRICE",$L$4,IF($H$4="SAC",$L$5,0))</f>
        <v/>
      </c>
      <c r="H242" s="42">
        <f>IFERROR(IF($H$4="SAC",$D$4/$D$6,G242-I242-K242),0)</f>
        <v/>
      </c>
      <c r="I242" s="43">
        <f>IFERROR(F242*$D$7,0)</f>
        <v/>
      </c>
      <c r="J242" s="44" t="n"/>
      <c r="K242" s="45">
        <f>IFERROR($H$5,0)</f>
        <v/>
      </c>
      <c r="L242" s="46" t="n"/>
      <c r="M242" s="44" t="n"/>
      <c r="N242" s="47">
        <f>IFERROR(N241+M242,N241)</f>
        <v/>
      </c>
      <c r="O242" s="48">
        <f>IF(M242="","⏳ PENDENTE",IF(M242&gt;=G242,"✅ PAGO","⚠️ PARCIAL"))</f>
        <v/>
      </c>
    </row>
    <row r="243" ht="19" customHeight="1">
      <c r="A243" s="1" t="n"/>
      <c r="B243" s="49" t="n">
        <v>230</v>
      </c>
      <c r="C243" s="50">
        <f>IFERROR(TEXT(EDATE(DATE(VALUE(RIGHT(D5,4)),MATCH(LEFT(D5,3),{"Jan","Fev","Mar","Abr","Mai","Jun","Jul","Ago","Set","Out","Nov","Dez"},0),1),229),"mmm/yyyy")</f>
        <v/>
      </c>
      <c r="D243" s="51">
        <f>IFERROR(EDATE(DATE(VALUE(RIGHT(D5,4)),MATCH(LEFT(D5,3),{"Jan","Fev","Mar","Abr","Mai","Jun","Jul","Ago","Set","Out","Nov","Dez"},0),5),229),"—")</f>
        <v/>
      </c>
      <c r="E243" s="39">
        <f>$H$4</f>
        <v/>
      </c>
      <c r="F243" s="52">
        <f>IFERROR(F242-H242-J242,0)</f>
        <v/>
      </c>
      <c r="G243" s="53">
        <f>IF($H$4="PRICE",$L$4,IF($H$4="SAC",$L$5,0))</f>
        <v/>
      </c>
      <c r="H243" s="54">
        <f>IFERROR(IF($H$4="SAC",$D$4/$D$6,G243-I243-K243),0)</f>
        <v/>
      </c>
      <c r="I243" s="55">
        <f>IFERROR(F243*$D$7,0)</f>
        <v/>
      </c>
      <c r="J243" s="44" t="n"/>
      <c r="K243" s="56">
        <f>IFERROR($H$5,0)</f>
        <v/>
      </c>
      <c r="L243" s="46" t="n"/>
      <c r="M243" s="44" t="n"/>
      <c r="N243" s="47">
        <f>IFERROR(N242+M243,N242)</f>
        <v/>
      </c>
      <c r="O243" s="48">
        <f>IF(M243="","⏳ PENDENTE",IF(M243&gt;=G243,"✅ PAGO","⚠️ PARCIAL"))</f>
        <v/>
      </c>
    </row>
    <row r="244" ht="19" customHeight="1">
      <c r="A244" s="5" t="n"/>
      <c r="B244" s="36" t="n">
        <v>231</v>
      </c>
      <c r="C244" s="37">
        <f>IFERROR(TEXT(EDATE(DATE(VALUE(RIGHT(D5,4)),MATCH(LEFT(D5,3),{"Jan","Fev","Mar","Abr","Mai","Jun","Jul","Ago","Set","Out","Nov","Dez"},0),1),230),"mmm/yyyy")</f>
        <v/>
      </c>
      <c r="D244" s="38">
        <f>IFERROR(EDATE(DATE(VALUE(RIGHT(D5,4)),MATCH(LEFT(D5,3),{"Jan","Fev","Mar","Abr","Mai","Jun","Jul","Ago","Set","Out","Nov","Dez"},0),5),230),"—")</f>
        <v/>
      </c>
      <c r="E244" s="39">
        <f>$H$4</f>
        <v/>
      </c>
      <c r="F244" s="40">
        <f>IFERROR(F243-H243-J243,0)</f>
        <v/>
      </c>
      <c r="G244" s="41">
        <f>IF($H$4="PRICE",$L$4,IF($H$4="SAC",$L$5,0))</f>
        <v/>
      </c>
      <c r="H244" s="42">
        <f>IFERROR(IF($H$4="SAC",$D$4/$D$6,G244-I244-K244),0)</f>
        <v/>
      </c>
      <c r="I244" s="43">
        <f>IFERROR(F244*$D$7,0)</f>
        <v/>
      </c>
      <c r="J244" s="44" t="n"/>
      <c r="K244" s="45">
        <f>IFERROR($H$5,0)</f>
        <v/>
      </c>
      <c r="L244" s="46" t="n"/>
      <c r="M244" s="44" t="n"/>
      <c r="N244" s="47">
        <f>IFERROR(N243+M244,N243)</f>
        <v/>
      </c>
      <c r="O244" s="48">
        <f>IF(M244="","⏳ PENDENTE",IF(M244&gt;=G244,"✅ PAGO","⚠️ PARCIAL"))</f>
        <v/>
      </c>
    </row>
    <row r="245" ht="19" customHeight="1">
      <c r="A245" s="1" t="n"/>
      <c r="B245" s="49" t="n">
        <v>232</v>
      </c>
      <c r="C245" s="50">
        <f>IFERROR(TEXT(EDATE(DATE(VALUE(RIGHT(D5,4)),MATCH(LEFT(D5,3),{"Jan","Fev","Mar","Abr","Mai","Jun","Jul","Ago","Set","Out","Nov","Dez"},0),1),231),"mmm/yyyy")</f>
        <v/>
      </c>
      <c r="D245" s="51">
        <f>IFERROR(EDATE(DATE(VALUE(RIGHT(D5,4)),MATCH(LEFT(D5,3),{"Jan","Fev","Mar","Abr","Mai","Jun","Jul","Ago","Set","Out","Nov","Dez"},0),5),231),"—")</f>
        <v/>
      </c>
      <c r="E245" s="39">
        <f>$H$4</f>
        <v/>
      </c>
      <c r="F245" s="52">
        <f>IFERROR(F244-H244-J244,0)</f>
        <v/>
      </c>
      <c r="G245" s="53">
        <f>IF($H$4="PRICE",$L$4,IF($H$4="SAC",$L$5,0))</f>
        <v/>
      </c>
      <c r="H245" s="54">
        <f>IFERROR(IF($H$4="SAC",$D$4/$D$6,G245-I245-K245),0)</f>
        <v/>
      </c>
      <c r="I245" s="55">
        <f>IFERROR(F245*$D$7,0)</f>
        <v/>
      </c>
      <c r="J245" s="44" t="n"/>
      <c r="K245" s="56">
        <f>IFERROR($H$5,0)</f>
        <v/>
      </c>
      <c r="L245" s="46" t="n"/>
      <c r="M245" s="44" t="n"/>
      <c r="N245" s="47">
        <f>IFERROR(N244+M245,N244)</f>
        <v/>
      </c>
      <c r="O245" s="48">
        <f>IF(M245="","⏳ PENDENTE",IF(M245&gt;=G245,"✅ PAGO","⚠️ PARCIAL"))</f>
        <v/>
      </c>
    </row>
    <row r="246" ht="19" customHeight="1">
      <c r="A246" s="5" t="n"/>
      <c r="B246" s="36" t="n">
        <v>233</v>
      </c>
      <c r="C246" s="37">
        <f>IFERROR(TEXT(EDATE(DATE(VALUE(RIGHT(D5,4)),MATCH(LEFT(D5,3),{"Jan","Fev","Mar","Abr","Mai","Jun","Jul","Ago","Set","Out","Nov","Dez"},0),1),232),"mmm/yyyy")</f>
        <v/>
      </c>
      <c r="D246" s="38">
        <f>IFERROR(EDATE(DATE(VALUE(RIGHT(D5,4)),MATCH(LEFT(D5,3),{"Jan","Fev","Mar","Abr","Mai","Jun","Jul","Ago","Set","Out","Nov","Dez"},0),5),232),"—")</f>
        <v/>
      </c>
      <c r="E246" s="39">
        <f>$H$4</f>
        <v/>
      </c>
      <c r="F246" s="40">
        <f>IFERROR(F245-H245-J245,0)</f>
        <v/>
      </c>
      <c r="G246" s="41">
        <f>IF($H$4="PRICE",$L$4,IF($H$4="SAC",$L$5,0))</f>
        <v/>
      </c>
      <c r="H246" s="42">
        <f>IFERROR(IF($H$4="SAC",$D$4/$D$6,G246-I246-K246),0)</f>
        <v/>
      </c>
      <c r="I246" s="43">
        <f>IFERROR(F246*$D$7,0)</f>
        <v/>
      </c>
      <c r="J246" s="44" t="n"/>
      <c r="K246" s="45">
        <f>IFERROR($H$5,0)</f>
        <v/>
      </c>
      <c r="L246" s="46" t="n"/>
      <c r="M246" s="44" t="n"/>
      <c r="N246" s="47">
        <f>IFERROR(N245+M246,N245)</f>
        <v/>
      </c>
      <c r="O246" s="48">
        <f>IF(M246="","⏳ PENDENTE",IF(M246&gt;=G246,"✅ PAGO","⚠️ PARCIAL"))</f>
        <v/>
      </c>
    </row>
    <row r="247" ht="19" customHeight="1">
      <c r="A247" s="1" t="n"/>
      <c r="B247" s="49" t="n">
        <v>234</v>
      </c>
      <c r="C247" s="50">
        <f>IFERROR(TEXT(EDATE(DATE(VALUE(RIGHT(D5,4)),MATCH(LEFT(D5,3),{"Jan","Fev","Mar","Abr","Mai","Jun","Jul","Ago","Set","Out","Nov","Dez"},0),1),233),"mmm/yyyy")</f>
        <v/>
      </c>
      <c r="D247" s="51">
        <f>IFERROR(EDATE(DATE(VALUE(RIGHT(D5,4)),MATCH(LEFT(D5,3),{"Jan","Fev","Mar","Abr","Mai","Jun","Jul","Ago","Set","Out","Nov","Dez"},0),5),233),"—")</f>
        <v/>
      </c>
      <c r="E247" s="39">
        <f>$H$4</f>
        <v/>
      </c>
      <c r="F247" s="52">
        <f>IFERROR(F246-H246-J246,0)</f>
        <v/>
      </c>
      <c r="G247" s="53">
        <f>IF($H$4="PRICE",$L$4,IF($H$4="SAC",$L$5,0))</f>
        <v/>
      </c>
      <c r="H247" s="54">
        <f>IFERROR(IF($H$4="SAC",$D$4/$D$6,G247-I247-K247),0)</f>
        <v/>
      </c>
      <c r="I247" s="55">
        <f>IFERROR(F247*$D$7,0)</f>
        <v/>
      </c>
      <c r="J247" s="44" t="n"/>
      <c r="K247" s="56">
        <f>IFERROR($H$5,0)</f>
        <v/>
      </c>
      <c r="L247" s="46" t="n"/>
      <c r="M247" s="44" t="n"/>
      <c r="N247" s="47">
        <f>IFERROR(N246+M247,N246)</f>
        <v/>
      </c>
      <c r="O247" s="48">
        <f>IF(M247="","⏳ PENDENTE",IF(M247&gt;=G247,"✅ PAGO","⚠️ PARCIAL"))</f>
        <v/>
      </c>
    </row>
    <row r="248" ht="19" customHeight="1">
      <c r="A248" s="5" t="n"/>
      <c r="B248" s="36" t="n">
        <v>235</v>
      </c>
      <c r="C248" s="37">
        <f>IFERROR(TEXT(EDATE(DATE(VALUE(RIGHT(D5,4)),MATCH(LEFT(D5,3),{"Jan","Fev","Mar","Abr","Mai","Jun","Jul","Ago","Set","Out","Nov","Dez"},0),1),234),"mmm/yyyy")</f>
        <v/>
      </c>
      <c r="D248" s="38">
        <f>IFERROR(EDATE(DATE(VALUE(RIGHT(D5,4)),MATCH(LEFT(D5,3),{"Jan","Fev","Mar","Abr","Mai","Jun","Jul","Ago","Set","Out","Nov","Dez"},0),5),234),"—")</f>
        <v/>
      </c>
      <c r="E248" s="39">
        <f>$H$4</f>
        <v/>
      </c>
      <c r="F248" s="40">
        <f>IFERROR(F247-H247-J247,0)</f>
        <v/>
      </c>
      <c r="G248" s="41">
        <f>IF($H$4="PRICE",$L$4,IF($H$4="SAC",$L$5,0))</f>
        <v/>
      </c>
      <c r="H248" s="42">
        <f>IFERROR(IF($H$4="SAC",$D$4/$D$6,G248-I248-K248),0)</f>
        <v/>
      </c>
      <c r="I248" s="43">
        <f>IFERROR(F248*$D$7,0)</f>
        <v/>
      </c>
      <c r="J248" s="44" t="n"/>
      <c r="K248" s="45">
        <f>IFERROR($H$5,0)</f>
        <v/>
      </c>
      <c r="L248" s="46" t="n"/>
      <c r="M248" s="44" t="n"/>
      <c r="N248" s="47">
        <f>IFERROR(N247+M248,N247)</f>
        <v/>
      </c>
      <c r="O248" s="48">
        <f>IF(M248="","⏳ PENDENTE",IF(M248&gt;=G248,"✅ PAGO","⚠️ PARCIAL"))</f>
        <v/>
      </c>
    </row>
    <row r="249" ht="19" customHeight="1">
      <c r="A249" s="1" t="n"/>
      <c r="B249" s="49" t="n">
        <v>236</v>
      </c>
      <c r="C249" s="50">
        <f>IFERROR(TEXT(EDATE(DATE(VALUE(RIGHT(D5,4)),MATCH(LEFT(D5,3),{"Jan","Fev","Mar","Abr","Mai","Jun","Jul","Ago","Set","Out","Nov","Dez"},0),1),235),"mmm/yyyy")</f>
        <v/>
      </c>
      <c r="D249" s="51">
        <f>IFERROR(EDATE(DATE(VALUE(RIGHT(D5,4)),MATCH(LEFT(D5,3),{"Jan","Fev","Mar","Abr","Mai","Jun","Jul","Ago","Set","Out","Nov","Dez"},0),5),235),"—")</f>
        <v/>
      </c>
      <c r="E249" s="39">
        <f>$H$4</f>
        <v/>
      </c>
      <c r="F249" s="52">
        <f>IFERROR(F248-H248-J248,0)</f>
        <v/>
      </c>
      <c r="G249" s="53">
        <f>IF($H$4="PRICE",$L$4,IF($H$4="SAC",$L$5,0))</f>
        <v/>
      </c>
      <c r="H249" s="54">
        <f>IFERROR(IF($H$4="SAC",$D$4/$D$6,G249-I249-K249),0)</f>
        <v/>
      </c>
      <c r="I249" s="55">
        <f>IFERROR(F249*$D$7,0)</f>
        <v/>
      </c>
      <c r="J249" s="44" t="n"/>
      <c r="K249" s="56">
        <f>IFERROR($H$5,0)</f>
        <v/>
      </c>
      <c r="L249" s="46" t="n"/>
      <c r="M249" s="44" t="n"/>
      <c r="N249" s="47">
        <f>IFERROR(N248+M249,N248)</f>
        <v/>
      </c>
      <c r="O249" s="48">
        <f>IF(M249="","⏳ PENDENTE",IF(M249&gt;=G249,"✅ PAGO","⚠️ PARCIAL"))</f>
        <v/>
      </c>
    </row>
    <row r="250" ht="19" customHeight="1">
      <c r="A250" s="5" t="n"/>
      <c r="B250" s="36" t="n">
        <v>237</v>
      </c>
      <c r="C250" s="37">
        <f>IFERROR(TEXT(EDATE(DATE(VALUE(RIGHT(D5,4)),MATCH(LEFT(D5,3),{"Jan","Fev","Mar","Abr","Mai","Jun","Jul","Ago","Set","Out","Nov","Dez"},0),1),236),"mmm/yyyy")</f>
        <v/>
      </c>
      <c r="D250" s="38">
        <f>IFERROR(EDATE(DATE(VALUE(RIGHT(D5,4)),MATCH(LEFT(D5,3),{"Jan","Fev","Mar","Abr","Mai","Jun","Jul","Ago","Set","Out","Nov","Dez"},0),5),236),"—")</f>
        <v/>
      </c>
      <c r="E250" s="39">
        <f>$H$4</f>
        <v/>
      </c>
      <c r="F250" s="40">
        <f>IFERROR(F249-H249-J249,0)</f>
        <v/>
      </c>
      <c r="G250" s="41">
        <f>IF($H$4="PRICE",$L$4,IF($H$4="SAC",$L$5,0))</f>
        <v/>
      </c>
      <c r="H250" s="42">
        <f>IFERROR(IF($H$4="SAC",$D$4/$D$6,G250-I250-K250),0)</f>
        <v/>
      </c>
      <c r="I250" s="43">
        <f>IFERROR(F250*$D$7,0)</f>
        <v/>
      </c>
      <c r="J250" s="44" t="n"/>
      <c r="K250" s="45">
        <f>IFERROR($H$5,0)</f>
        <v/>
      </c>
      <c r="L250" s="46" t="n"/>
      <c r="M250" s="44" t="n"/>
      <c r="N250" s="47">
        <f>IFERROR(N249+M250,N249)</f>
        <v/>
      </c>
      <c r="O250" s="48">
        <f>IF(M250="","⏳ PENDENTE",IF(M250&gt;=G250,"✅ PAGO","⚠️ PARCIAL"))</f>
        <v/>
      </c>
    </row>
    <row r="251" ht="19" customHeight="1">
      <c r="A251" s="1" t="n"/>
      <c r="B251" s="49" t="n">
        <v>238</v>
      </c>
      <c r="C251" s="50">
        <f>IFERROR(TEXT(EDATE(DATE(VALUE(RIGHT(D5,4)),MATCH(LEFT(D5,3),{"Jan","Fev","Mar","Abr","Mai","Jun","Jul","Ago","Set","Out","Nov","Dez"},0),1),237),"mmm/yyyy")</f>
        <v/>
      </c>
      <c r="D251" s="51">
        <f>IFERROR(EDATE(DATE(VALUE(RIGHT(D5,4)),MATCH(LEFT(D5,3),{"Jan","Fev","Mar","Abr","Mai","Jun","Jul","Ago","Set","Out","Nov","Dez"},0),5),237),"—")</f>
        <v/>
      </c>
      <c r="E251" s="39">
        <f>$H$4</f>
        <v/>
      </c>
      <c r="F251" s="52">
        <f>IFERROR(F250-H250-J250,0)</f>
        <v/>
      </c>
      <c r="G251" s="53">
        <f>IF($H$4="PRICE",$L$4,IF($H$4="SAC",$L$5,0))</f>
        <v/>
      </c>
      <c r="H251" s="54">
        <f>IFERROR(IF($H$4="SAC",$D$4/$D$6,G251-I251-K251),0)</f>
        <v/>
      </c>
      <c r="I251" s="55">
        <f>IFERROR(F251*$D$7,0)</f>
        <v/>
      </c>
      <c r="J251" s="44" t="n"/>
      <c r="K251" s="56">
        <f>IFERROR($H$5,0)</f>
        <v/>
      </c>
      <c r="L251" s="46" t="n"/>
      <c r="M251" s="44" t="n"/>
      <c r="N251" s="47">
        <f>IFERROR(N250+M251,N250)</f>
        <v/>
      </c>
      <c r="O251" s="48">
        <f>IF(M251="","⏳ PENDENTE",IF(M251&gt;=G251,"✅ PAGO","⚠️ PARCIAL"))</f>
        <v/>
      </c>
    </row>
    <row r="252" ht="19" customHeight="1">
      <c r="A252" s="5" t="n"/>
      <c r="B252" s="36" t="n">
        <v>239</v>
      </c>
      <c r="C252" s="37">
        <f>IFERROR(TEXT(EDATE(DATE(VALUE(RIGHT(D5,4)),MATCH(LEFT(D5,3),{"Jan","Fev","Mar","Abr","Mai","Jun","Jul","Ago","Set","Out","Nov","Dez"},0),1),238),"mmm/yyyy")</f>
        <v/>
      </c>
      <c r="D252" s="38">
        <f>IFERROR(EDATE(DATE(VALUE(RIGHT(D5,4)),MATCH(LEFT(D5,3),{"Jan","Fev","Mar","Abr","Mai","Jun","Jul","Ago","Set","Out","Nov","Dez"},0),5),238),"—")</f>
        <v/>
      </c>
      <c r="E252" s="39">
        <f>$H$4</f>
        <v/>
      </c>
      <c r="F252" s="40">
        <f>IFERROR(F251-H251-J251,0)</f>
        <v/>
      </c>
      <c r="G252" s="41">
        <f>IF($H$4="PRICE",$L$4,IF($H$4="SAC",$L$5,0))</f>
        <v/>
      </c>
      <c r="H252" s="42">
        <f>IFERROR(IF($H$4="SAC",$D$4/$D$6,G252-I252-K252),0)</f>
        <v/>
      </c>
      <c r="I252" s="43">
        <f>IFERROR(F252*$D$7,0)</f>
        <v/>
      </c>
      <c r="J252" s="44" t="n"/>
      <c r="K252" s="45">
        <f>IFERROR($H$5,0)</f>
        <v/>
      </c>
      <c r="L252" s="46" t="n"/>
      <c r="M252" s="44" t="n"/>
      <c r="N252" s="47">
        <f>IFERROR(N251+M252,N251)</f>
        <v/>
      </c>
      <c r="O252" s="48">
        <f>IF(M252="","⏳ PENDENTE",IF(M252&gt;=G252,"✅ PAGO","⚠️ PARCIAL"))</f>
        <v/>
      </c>
    </row>
    <row r="253" ht="19" customHeight="1">
      <c r="A253" s="1" t="n"/>
      <c r="B253" s="49" t="n">
        <v>240</v>
      </c>
      <c r="C253" s="50">
        <f>IFERROR(TEXT(EDATE(DATE(VALUE(RIGHT(D5,4)),MATCH(LEFT(D5,3),{"Jan","Fev","Mar","Abr","Mai","Jun","Jul","Ago","Set","Out","Nov","Dez"},0),1),239),"mmm/yyyy")</f>
        <v/>
      </c>
      <c r="D253" s="51">
        <f>IFERROR(EDATE(DATE(VALUE(RIGHT(D5,4)),MATCH(LEFT(D5,3),{"Jan","Fev","Mar","Abr","Mai","Jun","Jul","Ago","Set","Out","Nov","Dez"},0),5),239),"—")</f>
        <v/>
      </c>
      <c r="E253" s="39">
        <f>$H$4</f>
        <v/>
      </c>
      <c r="F253" s="52">
        <f>IFERROR(F252-H252-J252,0)</f>
        <v/>
      </c>
      <c r="G253" s="53">
        <f>IF($H$4="PRICE",$L$4,IF($H$4="SAC",$L$5,0))</f>
        <v/>
      </c>
      <c r="H253" s="54">
        <f>IFERROR(IF($H$4="SAC",$D$4/$D$6,G253-I253-K253),0)</f>
        <v/>
      </c>
      <c r="I253" s="55">
        <f>IFERROR(F253*$D$7,0)</f>
        <v/>
      </c>
      <c r="J253" s="44" t="n"/>
      <c r="K253" s="56">
        <f>IFERROR($H$5,0)</f>
        <v/>
      </c>
      <c r="L253" s="46" t="n"/>
      <c r="M253" s="44" t="n"/>
      <c r="N253" s="47">
        <f>IFERROR(N252+M253,N252)</f>
        <v/>
      </c>
      <c r="O253" s="48">
        <f>IF(M253="","⏳ PENDENTE",IF(M253&gt;=G253,"✅ PAGO","⚠️ PARCIAL"))</f>
        <v/>
      </c>
    </row>
    <row r="254" ht="19" customHeight="1">
      <c r="A254" s="5" t="n"/>
      <c r="B254" s="36" t="n">
        <v>241</v>
      </c>
      <c r="C254" s="37">
        <f>IFERROR(TEXT(EDATE(DATE(VALUE(RIGHT(D5,4)),MATCH(LEFT(D5,3),{"Jan","Fev","Mar","Abr","Mai","Jun","Jul","Ago","Set","Out","Nov","Dez"},0),1),240),"mmm/yyyy")</f>
        <v/>
      </c>
      <c r="D254" s="38">
        <f>IFERROR(EDATE(DATE(VALUE(RIGHT(D5,4)),MATCH(LEFT(D5,3),{"Jan","Fev","Mar","Abr","Mai","Jun","Jul","Ago","Set","Out","Nov","Dez"},0),5),240),"—")</f>
        <v/>
      </c>
      <c r="E254" s="39">
        <f>$H$4</f>
        <v/>
      </c>
      <c r="F254" s="40">
        <f>IFERROR(F253-H253-J253,0)</f>
        <v/>
      </c>
      <c r="G254" s="41">
        <f>IF($H$4="PRICE",$L$4,IF($H$4="SAC",$L$5,0))</f>
        <v/>
      </c>
      <c r="H254" s="42">
        <f>IFERROR(IF($H$4="SAC",$D$4/$D$6,G254-I254-K254),0)</f>
        <v/>
      </c>
      <c r="I254" s="43">
        <f>IFERROR(F254*$D$7,0)</f>
        <v/>
      </c>
      <c r="J254" s="44" t="n"/>
      <c r="K254" s="45">
        <f>IFERROR($H$5,0)</f>
        <v/>
      </c>
      <c r="L254" s="46" t="n"/>
      <c r="M254" s="44" t="n"/>
      <c r="N254" s="47">
        <f>IFERROR(N253+M254,N253)</f>
        <v/>
      </c>
      <c r="O254" s="48">
        <f>IF(M254="","⏳ PENDENTE",IF(M254&gt;=G254,"✅ PAGO","⚠️ PARCIAL"))</f>
        <v/>
      </c>
    </row>
    <row r="255" ht="19" customHeight="1">
      <c r="A255" s="1" t="n"/>
      <c r="B255" s="49" t="n">
        <v>242</v>
      </c>
      <c r="C255" s="50">
        <f>IFERROR(TEXT(EDATE(DATE(VALUE(RIGHT(D5,4)),MATCH(LEFT(D5,3),{"Jan","Fev","Mar","Abr","Mai","Jun","Jul","Ago","Set","Out","Nov","Dez"},0),1),241),"mmm/yyyy")</f>
        <v/>
      </c>
      <c r="D255" s="51">
        <f>IFERROR(EDATE(DATE(VALUE(RIGHT(D5,4)),MATCH(LEFT(D5,3),{"Jan","Fev","Mar","Abr","Mai","Jun","Jul","Ago","Set","Out","Nov","Dez"},0),5),241),"—")</f>
        <v/>
      </c>
      <c r="E255" s="39">
        <f>$H$4</f>
        <v/>
      </c>
      <c r="F255" s="52">
        <f>IFERROR(F254-H254-J254,0)</f>
        <v/>
      </c>
      <c r="G255" s="53">
        <f>IF($H$4="PRICE",$L$4,IF($H$4="SAC",$L$5,0))</f>
        <v/>
      </c>
      <c r="H255" s="54">
        <f>IFERROR(IF($H$4="SAC",$D$4/$D$6,G255-I255-K255),0)</f>
        <v/>
      </c>
      <c r="I255" s="55">
        <f>IFERROR(F255*$D$7,0)</f>
        <v/>
      </c>
      <c r="J255" s="44" t="n"/>
      <c r="K255" s="56">
        <f>IFERROR($H$5,0)</f>
        <v/>
      </c>
      <c r="L255" s="46" t="n"/>
      <c r="M255" s="44" t="n"/>
      <c r="N255" s="47">
        <f>IFERROR(N254+M255,N254)</f>
        <v/>
      </c>
      <c r="O255" s="48">
        <f>IF(M255="","⏳ PENDENTE",IF(M255&gt;=G255,"✅ PAGO","⚠️ PARCIAL"))</f>
        <v/>
      </c>
    </row>
    <row r="256" ht="19" customHeight="1">
      <c r="A256" s="5" t="n"/>
      <c r="B256" s="36" t="n">
        <v>243</v>
      </c>
      <c r="C256" s="37">
        <f>IFERROR(TEXT(EDATE(DATE(VALUE(RIGHT(D5,4)),MATCH(LEFT(D5,3),{"Jan","Fev","Mar","Abr","Mai","Jun","Jul","Ago","Set","Out","Nov","Dez"},0),1),242),"mmm/yyyy")</f>
        <v/>
      </c>
      <c r="D256" s="38">
        <f>IFERROR(EDATE(DATE(VALUE(RIGHT(D5,4)),MATCH(LEFT(D5,3),{"Jan","Fev","Mar","Abr","Mai","Jun","Jul","Ago","Set","Out","Nov","Dez"},0),5),242),"—")</f>
        <v/>
      </c>
      <c r="E256" s="39">
        <f>$H$4</f>
        <v/>
      </c>
      <c r="F256" s="40">
        <f>IFERROR(F255-H255-J255,0)</f>
        <v/>
      </c>
      <c r="G256" s="41">
        <f>IF($H$4="PRICE",$L$4,IF($H$4="SAC",$L$5,0))</f>
        <v/>
      </c>
      <c r="H256" s="42">
        <f>IFERROR(IF($H$4="SAC",$D$4/$D$6,G256-I256-K256),0)</f>
        <v/>
      </c>
      <c r="I256" s="43">
        <f>IFERROR(F256*$D$7,0)</f>
        <v/>
      </c>
      <c r="J256" s="44" t="n"/>
      <c r="K256" s="45">
        <f>IFERROR($H$5,0)</f>
        <v/>
      </c>
      <c r="L256" s="46" t="n"/>
      <c r="M256" s="44" t="n"/>
      <c r="N256" s="47">
        <f>IFERROR(N255+M256,N255)</f>
        <v/>
      </c>
      <c r="O256" s="48">
        <f>IF(M256="","⏳ PENDENTE",IF(M256&gt;=G256,"✅ PAGO","⚠️ PARCIAL"))</f>
        <v/>
      </c>
    </row>
    <row r="257" ht="19" customHeight="1">
      <c r="A257" s="1" t="n"/>
      <c r="B257" s="49" t="n">
        <v>244</v>
      </c>
      <c r="C257" s="50">
        <f>IFERROR(TEXT(EDATE(DATE(VALUE(RIGHT(D5,4)),MATCH(LEFT(D5,3),{"Jan","Fev","Mar","Abr","Mai","Jun","Jul","Ago","Set","Out","Nov","Dez"},0),1),243),"mmm/yyyy")</f>
        <v/>
      </c>
      <c r="D257" s="51">
        <f>IFERROR(EDATE(DATE(VALUE(RIGHT(D5,4)),MATCH(LEFT(D5,3),{"Jan","Fev","Mar","Abr","Mai","Jun","Jul","Ago","Set","Out","Nov","Dez"},0),5),243),"—")</f>
        <v/>
      </c>
      <c r="E257" s="39">
        <f>$H$4</f>
        <v/>
      </c>
      <c r="F257" s="52">
        <f>IFERROR(F256-H256-J256,0)</f>
        <v/>
      </c>
      <c r="G257" s="53">
        <f>IF($H$4="PRICE",$L$4,IF($H$4="SAC",$L$5,0))</f>
        <v/>
      </c>
      <c r="H257" s="54">
        <f>IFERROR(IF($H$4="SAC",$D$4/$D$6,G257-I257-K257),0)</f>
        <v/>
      </c>
      <c r="I257" s="55">
        <f>IFERROR(F257*$D$7,0)</f>
        <v/>
      </c>
      <c r="J257" s="44" t="n"/>
      <c r="K257" s="56">
        <f>IFERROR($H$5,0)</f>
        <v/>
      </c>
      <c r="L257" s="46" t="n"/>
      <c r="M257" s="44" t="n"/>
      <c r="N257" s="47">
        <f>IFERROR(N256+M257,N256)</f>
        <v/>
      </c>
      <c r="O257" s="48">
        <f>IF(M257="","⏳ PENDENTE",IF(M257&gt;=G257,"✅ PAGO","⚠️ PARCIAL"))</f>
        <v/>
      </c>
    </row>
    <row r="258" ht="19" customHeight="1">
      <c r="A258" s="5" t="n"/>
      <c r="B258" s="36" t="n">
        <v>245</v>
      </c>
      <c r="C258" s="37">
        <f>IFERROR(TEXT(EDATE(DATE(VALUE(RIGHT(D5,4)),MATCH(LEFT(D5,3),{"Jan","Fev","Mar","Abr","Mai","Jun","Jul","Ago","Set","Out","Nov","Dez"},0),1),244),"mmm/yyyy")</f>
        <v/>
      </c>
      <c r="D258" s="38">
        <f>IFERROR(EDATE(DATE(VALUE(RIGHT(D5,4)),MATCH(LEFT(D5,3),{"Jan","Fev","Mar","Abr","Mai","Jun","Jul","Ago","Set","Out","Nov","Dez"},0),5),244),"—")</f>
        <v/>
      </c>
      <c r="E258" s="39">
        <f>$H$4</f>
        <v/>
      </c>
      <c r="F258" s="40">
        <f>IFERROR(F257-H257-J257,0)</f>
        <v/>
      </c>
      <c r="G258" s="41">
        <f>IF($H$4="PRICE",$L$4,IF($H$4="SAC",$L$5,0))</f>
        <v/>
      </c>
      <c r="H258" s="42">
        <f>IFERROR(IF($H$4="SAC",$D$4/$D$6,G258-I258-K258),0)</f>
        <v/>
      </c>
      <c r="I258" s="43">
        <f>IFERROR(F258*$D$7,0)</f>
        <v/>
      </c>
      <c r="J258" s="44" t="n"/>
      <c r="K258" s="45">
        <f>IFERROR($H$5,0)</f>
        <v/>
      </c>
      <c r="L258" s="46" t="n"/>
      <c r="M258" s="44" t="n"/>
      <c r="N258" s="47">
        <f>IFERROR(N257+M258,N257)</f>
        <v/>
      </c>
      <c r="O258" s="48">
        <f>IF(M258="","⏳ PENDENTE",IF(M258&gt;=G258,"✅ PAGO","⚠️ PARCIAL"))</f>
        <v/>
      </c>
    </row>
    <row r="259" ht="19" customHeight="1">
      <c r="A259" s="1" t="n"/>
      <c r="B259" s="49" t="n">
        <v>246</v>
      </c>
      <c r="C259" s="50">
        <f>IFERROR(TEXT(EDATE(DATE(VALUE(RIGHT(D5,4)),MATCH(LEFT(D5,3),{"Jan","Fev","Mar","Abr","Mai","Jun","Jul","Ago","Set","Out","Nov","Dez"},0),1),245),"mmm/yyyy")</f>
        <v/>
      </c>
      <c r="D259" s="51">
        <f>IFERROR(EDATE(DATE(VALUE(RIGHT(D5,4)),MATCH(LEFT(D5,3),{"Jan","Fev","Mar","Abr","Mai","Jun","Jul","Ago","Set","Out","Nov","Dez"},0),5),245),"—")</f>
        <v/>
      </c>
      <c r="E259" s="39">
        <f>$H$4</f>
        <v/>
      </c>
      <c r="F259" s="52">
        <f>IFERROR(F258-H258-J258,0)</f>
        <v/>
      </c>
      <c r="G259" s="53">
        <f>IF($H$4="PRICE",$L$4,IF($H$4="SAC",$L$5,0))</f>
        <v/>
      </c>
      <c r="H259" s="54">
        <f>IFERROR(IF($H$4="SAC",$D$4/$D$6,G259-I259-K259),0)</f>
        <v/>
      </c>
      <c r="I259" s="55">
        <f>IFERROR(F259*$D$7,0)</f>
        <v/>
      </c>
      <c r="J259" s="44" t="n"/>
      <c r="K259" s="56">
        <f>IFERROR($H$5,0)</f>
        <v/>
      </c>
      <c r="L259" s="46" t="n"/>
      <c r="M259" s="44" t="n"/>
      <c r="N259" s="47">
        <f>IFERROR(N258+M259,N258)</f>
        <v/>
      </c>
      <c r="O259" s="48">
        <f>IF(M259="","⏳ PENDENTE",IF(M259&gt;=G259,"✅ PAGO","⚠️ PARCIAL"))</f>
        <v/>
      </c>
    </row>
    <row r="260" ht="19" customHeight="1">
      <c r="A260" s="5" t="n"/>
      <c r="B260" s="36" t="n">
        <v>247</v>
      </c>
      <c r="C260" s="37">
        <f>IFERROR(TEXT(EDATE(DATE(VALUE(RIGHT(D5,4)),MATCH(LEFT(D5,3),{"Jan","Fev","Mar","Abr","Mai","Jun","Jul","Ago","Set","Out","Nov","Dez"},0),1),246),"mmm/yyyy")</f>
        <v/>
      </c>
      <c r="D260" s="38">
        <f>IFERROR(EDATE(DATE(VALUE(RIGHT(D5,4)),MATCH(LEFT(D5,3),{"Jan","Fev","Mar","Abr","Mai","Jun","Jul","Ago","Set","Out","Nov","Dez"},0),5),246),"—")</f>
        <v/>
      </c>
      <c r="E260" s="39">
        <f>$H$4</f>
        <v/>
      </c>
      <c r="F260" s="40">
        <f>IFERROR(F259-H259-J259,0)</f>
        <v/>
      </c>
      <c r="G260" s="41">
        <f>IF($H$4="PRICE",$L$4,IF($H$4="SAC",$L$5,0))</f>
        <v/>
      </c>
      <c r="H260" s="42">
        <f>IFERROR(IF($H$4="SAC",$D$4/$D$6,G260-I260-K260),0)</f>
        <v/>
      </c>
      <c r="I260" s="43">
        <f>IFERROR(F260*$D$7,0)</f>
        <v/>
      </c>
      <c r="J260" s="44" t="n"/>
      <c r="K260" s="45">
        <f>IFERROR($H$5,0)</f>
        <v/>
      </c>
      <c r="L260" s="46" t="n"/>
      <c r="M260" s="44" t="n"/>
      <c r="N260" s="47">
        <f>IFERROR(N259+M260,N259)</f>
        <v/>
      </c>
      <c r="O260" s="48">
        <f>IF(M260="","⏳ PENDENTE",IF(M260&gt;=G260,"✅ PAGO","⚠️ PARCIAL"))</f>
        <v/>
      </c>
    </row>
    <row r="261" ht="19" customHeight="1">
      <c r="A261" s="1" t="n"/>
      <c r="B261" s="49" t="n">
        <v>248</v>
      </c>
      <c r="C261" s="50">
        <f>IFERROR(TEXT(EDATE(DATE(VALUE(RIGHT(D5,4)),MATCH(LEFT(D5,3),{"Jan","Fev","Mar","Abr","Mai","Jun","Jul","Ago","Set","Out","Nov","Dez"},0),1),247),"mmm/yyyy")</f>
        <v/>
      </c>
      <c r="D261" s="51">
        <f>IFERROR(EDATE(DATE(VALUE(RIGHT(D5,4)),MATCH(LEFT(D5,3),{"Jan","Fev","Mar","Abr","Mai","Jun","Jul","Ago","Set","Out","Nov","Dez"},0),5),247),"—")</f>
        <v/>
      </c>
      <c r="E261" s="39">
        <f>$H$4</f>
        <v/>
      </c>
      <c r="F261" s="52">
        <f>IFERROR(F260-H260-J260,0)</f>
        <v/>
      </c>
      <c r="G261" s="53">
        <f>IF($H$4="PRICE",$L$4,IF($H$4="SAC",$L$5,0))</f>
        <v/>
      </c>
      <c r="H261" s="54">
        <f>IFERROR(IF($H$4="SAC",$D$4/$D$6,G261-I261-K261),0)</f>
        <v/>
      </c>
      <c r="I261" s="55">
        <f>IFERROR(F261*$D$7,0)</f>
        <v/>
      </c>
      <c r="J261" s="44" t="n"/>
      <c r="K261" s="56">
        <f>IFERROR($H$5,0)</f>
        <v/>
      </c>
      <c r="L261" s="46" t="n"/>
      <c r="M261" s="44" t="n"/>
      <c r="N261" s="47">
        <f>IFERROR(N260+M261,N260)</f>
        <v/>
      </c>
      <c r="O261" s="48">
        <f>IF(M261="","⏳ PENDENTE",IF(M261&gt;=G261,"✅ PAGO","⚠️ PARCIAL"))</f>
        <v/>
      </c>
    </row>
    <row r="262" ht="19" customHeight="1">
      <c r="A262" s="5" t="n"/>
      <c r="B262" s="36" t="n">
        <v>249</v>
      </c>
      <c r="C262" s="37">
        <f>IFERROR(TEXT(EDATE(DATE(VALUE(RIGHT(D5,4)),MATCH(LEFT(D5,3),{"Jan","Fev","Mar","Abr","Mai","Jun","Jul","Ago","Set","Out","Nov","Dez"},0),1),248),"mmm/yyyy")</f>
        <v/>
      </c>
      <c r="D262" s="38">
        <f>IFERROR(EDATE(DATE(VALUE(RIGHT(D5,4)),MATCH(LEFT(D5,3),{"Jan","Fev","Mar","Abr","Mai","Jun","Jul","Ago","Set","Out","Nov","Dez"},0),5),248),"—")</f>
        <v/>
      </c>
      <c r="E262" s="39">
        <f>$H$4</f>
        <v/>
      </c>
      <c r="F262" s="40">
        <f>IFERROR(F261-H261-J261,0)</f>
        <v/>
      </c>
      <c r="G262" s="41">
        <f>IF($H$4="PRICE",$L$4,IF($H$4="SAC",$L$5,0))</f>
        <v/>
      </c>
      <c r="H262" s="42">
        <f>IFERROR(IF($H$4="SAC",$D$4/$D$6,G262-I262-K262),0)</f>
        <v/>
      </c>
      <c r="I262" s="43">
        <f>IFERROR(F262*$D$7,0)</f>
        <v/>
      </c>
      <c r="J262" s="44" t="n"/>
      <c r="K262" s="45">
        <f>IFERROR($H$5,0)</f>
        <v/>
      </c>
      <c r="L262" s="46" t="n"/>
      <c r="M262" s="44" t="n"/>
      <c r="N262" s="47">
        <f>IFERROR(N261+M262,N261)</f>
        <v/>
      </c>
      <c r="O262" s="48">
        <f>IF(M262="","⏳ PENDENTE",IF(M262&gt;=G262,"✅ PAGO","⚠️ PARCIAL"))</f>
        <v/>
      </c>
    </row>
    <row r="263" ht="19" customHeight="1">
      <c r="A263" s="1" t="n"/>
      <c r="B263" s="49" t="n">
        <v>250</v>
      </c>
      <c r="C263" s="50">
        <f>IFERROR(TEXT(EDATE(DATE(VALUE(RIGHT(D5,4)),MATCH(LEFT(D5,3),{"Jan","Fev","Mar","Abr","Mai","Jun","Jul","Ago","Set","Out","Nov","Dez"},0),1),249),"mmm/yyyy")</f>
        <v/>
      </c>
      <c r="D263" s="51">
        <f>IFERROR(EDATE(DATE(VALUE(RIGHT(D5,4)),MATCH(LEFT(D5,3),{"Jan","Fev","Mar","Abr","Mai","Jun","Jul","Ago","Set","Out","Nov","Dez"},0),5),249),"—")</f>
        <v/>
      </c>
      <c r="E263" s="39">
        <f>$H$4</f>
        <v/>
      </c>
      <c r="F263" s="52">
        <f>IFERROR(F262-H262-J262,0)</f>
        <v/>
      </c>
      <c r="G263" s="53">
        <f>IF($H$4="PRICE",$L$4,IF($H$4="SAC",$L$5,0))</f>
        <v/>
      </c>
      <c r="H263" s="54">
        <f>IFERROR(IF($H$4="SAC",$D$4/$D$6,G263-I263-K263),0)</f>
        <v/>
      </c>
      <c r="I263" s="55">
        <f>IFERROR(F263*$D$7,0)</f>
        <v/>
      </c>
      <c r="J263" s="44" t="n"/>
      <c r="K263" s="56">
        <f>IFERROR($H$5,0)</f>
        <v/>
      </c>
      <c r="L263" s="46" t="n"/>
      <c r="M263" s="44" t="n"/>
      <c r="N263" s="47">
        <f>IFERROR(N262+M263,N262)</f>
        <v/>
      </c>
      <c r="O263" s="48">
        <f>IF(M263="","⏳ PENDENTE",IF(M263&gt;=G263,"✅ PAGO","⚠️ PARCIAL"))</f>
        <v/>
      </c>
    </row>
    <row r="264" ht="19" customHeight="1">
      <c r="A264" s="5" t="n"/>
      <c r="B264" s="36" t="n">
        <v>251</v>
      </c>
      <c r="C264" s="37">
        <f>IFERROR(TEXT(EDATE(DATE(VALUE(RIGHT(D5,4)),MATCH(LEFT(D5,3),{"Jan","Fev","Mar","Abr","Mai","Jun","Jul","Ago","Set","Out","Nov","Dez"},0),1),250),"mmm/yyyy")</f>
        <v/>
      </c>
      <c r="D264" s="38">
        <f>IFERROR(EDATE(DATE(VALUE(RIGHT(D5,4)),MATCH(LEFT(D5,3),{"Jan","Fev","Mar","Abr","Mai","Jun","Jul","Ago","Set","Out","Nov","Dez"},0),5),250),"—")</f>
        <v/>
      </c>
      <c r="E264" s="39">
        <f>$H$4</f>
        <v/>
      </c>
      <c r="F264" s="40">
        <f>IFERROR(F263-H263-J263,0)</f>
        <v/>
      </c>
      <c r="G264" s="41">
        <f>IF($H$4="PRICE",$L$4,IF($H$4="SAC",$L$5,0))</f>
        <v/>
      </c>
      <c r="H264" s="42">
        <f>IFERROR(IF($H$4="SAC",$D$4/$D$6,G264-I264-K264),0)</f>
        <v/>
      </c>
      <c r="I264" s="43">
        <f>IFERROR(F264*$D$7,0)</f>
        <v/>
      </c>
      <c r="J264" s="44" t="n"/>
      <c r="K264" s="45">
        <f>IFERROR($H$5,0)</f>
        <v/>
      </c>
      <c r="L264" s="46" t="n"/>
      <c r="M264" s="44" t="n"/>
      <c r="N264" s="47">
        <f>IFERROR(N263+M264,N263)</f>
        <v/>
      </c>
      <c r="O264" s="48">
        <f>IF(M264="","⏳ PENDENTE",IF(M264&gt;=G264,"✅ PAGO","⚠️ PARCIAL"))</f>
        <v/>
      </c>
    </row>
    <row r="265" ht="19" customHeight="1">
      <c r="A265" s="1" t="n"/>
      <c r="B265" s="49" t="n">
        <v>252</v>
      </c>
      <c r="C265" s="50">
        <f>IFERROR(TEXT(EDATE(DATE(VALUE(RIGHT(D5,4)),MATCH(LEFT(D5,3),{"Jan","Fev","Mar","Abr","Mai","Jun","Jul","Ago","Set","Out","Nov","Dez"},0),1),251),"mmm/yyyy")</f>
        <v/>
      </c>
      <c r="D265" s="51">
        <f>IFERROR(EDATE(DATE(VALUE(RIGHT(D5,4)),MATCH(LEFT(D5,3),{"Jan","Fev","Mar","Abr","Mai","Jun","Jul","Ago","Set","Out","Nov","Dez"},0),5),251),"—")</f>
        <v/>
      </c>
      <c r="E265" s="39">
        <f>$H$4</f>
        <v/>
      </c>
      <c r="F265" s="52">
        <f>IFERROR(F264-H264-J264,0)</f>
        <v/>
      </c>
      <c r="G265" s="53">
        <f>IF($H$4="PRICE",$L$4,IF($H$4="SAC",$L$5,0))</f>
        <v/>
      </c>
      <c r="H265" s="54">
        <f>IFERROR(IF($H$4="SAC",$D$4/$D$6,G265-I265-K265),0)</f>
        <v/>
      </c>
      <c r="I265" s="55">
        <f>IFERROR(F265*$D$7,0)</f>
        <v/>
      </c>
      <c r="J265" s="44" t="n"/>
      <c r="K265" s="56">
        <f>IFERROR($H$5,0)</f>
        <v/>
      </c>
      <c r="L265" s="46" t="n"/>
      <c r="M265" s="44" t="n"/>
      <c r="N265" s="47">
        <f>IFERROR(N264+M265,N264)</f>
        <v/>
      </c>
      <c r="O265" s="48">
        <f>IF(M265="","⏳ PENDENTE",IF(M265&gt;=G265,"✅ PAGO","⚠️ PARCIAL"))</f>
        <v/>
      </c>
    </row>
    <row r="266" ht="19" customHeight="1">
      <c r="A266" s="5" t="n"/>
      <c r="B266" s="36" t="n">
        <v>253</v>
      </c>
      <c r="C266" s="37">
        <f>IFERROR(TEXT(EDATE(DATE(VALUE(RIGHT(D5,4)),MATCH(LEFT(D5,3),{"Jan","Fev","Mar","Abr","Mai","Jun","Jul","Ago","Set","Out","Nov","Dez"},0),1),252),"mmm/yyyy")</f>
        <v/>
      </c>
      <c r="D266" s="38">
        <f>IFERROR(EDATE(DATE(VALUE(RIGHT(D5,4)),MATCH(LEFT(D5,3),{"Jan","Fev","Mar","Abr","Mai","Jun","Jul","Ago","Set","Out","Nov","Dez"},0),5),252),"—")</f>
        <v/>
      </c>
      <c r="E266" s="39">
        <f>$H$4</f>
        <v/>
      </c>
      <c r="F266" s="40">
        <f>IFERROR(F265-H265-J265,0)</f>
        <v/>
      </c>
      <c r="G266" s="41">
        <f>IF($H$4="PRICE",$L$4,IF($H$4="SAC",$L$5,0))</f>
        <v/>
      </c>
      <c r="H266" s="42">
        <f>IFERROR(IF($H$4="SAC",$D$4/$D$6,G266-I266-K266),0)</f>
        <v/>
      </c>
      <c r="I266" s="43">
        <f>IFERROR(F266*$D$7,0)</f>
        <v/>
      </c>
      <c r="J266" s="44" t="n"/>
      <c r="K266" s="45">
        <f>IFERROR($H$5,0)</f>
        <v/>
      </c>
      <c r="L266" s="46" t="n"/>
      <c r="M266" s="44" t="n"/>
      <c r="N266" s="47">
        <f>IFERROR(N265+M266,N265)</f>
        <v/>
      </c>
      <c r="O266" s="48">
        <f>IF(M266="","⏳ PENDENTE",IF(M266&gt;=G266,"✅ PAGO","⚠️ PARCIAL"))</f>
        <v/>
      </c>
    </row>
    <row r="267" ht="19" customHeight="1">
      <c r="A267" s="1" t="n"/>
      <c r="B267" s="49" t="n">
        <v>254</v>
      </c>
      <c r="C267" s="50">
        <f>IFERROR(TEXT(EDATE(DATE(VALUE(RIGHT(D5,4)),MATCH(LEFT(D5,3),{"Jan","Fev","Mar","Abr","Mai","Jun","Jul","Ago","Set","Out","Nov","Dez"},0),1),253),"mmm/yyyy")</f>
        <v/>
      </c>
      <c r="D267" s="51">
        <f>IFERROR(EDATE(DATE(VALUE(RIGHT(D5,4)),MATCH(LEFT(D5,3),{"Jan","Fev","Mar","Abr","Mai","Jun","Jul","Ago","Set","Out","Nov","Dez"},0),5),253),"—")</f>
        <v/>
      </c>
      <c r="E267" s="39">
        <f>$H$4</f>
        <v/>
      </c>
      <c r="F267" s="52">
        <f>IFERROR(F266-H266-J266,0)</f>
        <v/>
      </c>
      <c r="G267" s="53">
        <f>IF($H$4="PRICE",$L$4,IF($H$4="SAC",$L$5,0))</f>
        <v/>
      </c>
      <c r="H267" s="54">
        <f>IFERROR(IF($H$4="SAC",$D$4/$D$6,G267-I267-K267),0)</f>
        <v/>
      </c>
      <c r="I267" s="55">
        <f>IFERROR(F267*$D$7,0)</f>
        <v/>
      </c>
      <c r="J267" s="44" t="n"/>
      <c r="K267" s="56">
        <f>IFERROR($H$5,0)</f>
        <v/>
      </c>
      <c r="L267" s="46" t="n"/>
      <c r="M267" s="44" t="n"/>
      <c r="N267" s="47">
        <f>IFERROR(N266+M267,N266)</f>
        <v/>
      </c>
      <c r="O267" s="48">
        <f>IF(M267="","⏳ PENDENTE",IF(M267&gt;=G267,"✅ PAGO","⚠️ PARCIAL"))</f>
        <v/>
      </c>
    </row>
    <row r="268" ht="19" customHeight="1">
      <c r="A268" s="5" t="n"/>
      <c r="B268" s="36" t="n">
        <v>255</v>
      </c>
      <c r="C268" s="37">
        <f>IFERROR(TEXT(EDATE(DATE(VALUE(RIGHT(D5,4)),MATCH(LEFT(D5,3),{"Jan","Fev","Mar","Abr","Mai","Jun","Jul","Ago","Set","Out","Nov","Dez"},0),1),254),"mmm/yyyy")</f>
        <v/>
      </c>
      <c r="D268" s="38">
        <f>IFERROR(EDATE(DATE(VALUE(RIGHT(D5,4)),MATCH(LEFT(D5,3),{"Jan","Fev","Mar","Abr","Mai","Jun","Jul","Ago","Set","Out","Nov","Dez"},0),5),254),"—")</f>
        <v/>
      </c>
      <c r="E268" s="39">
        <f>$H$4</f>
        <v/>
      </c>
      <c r="F268" s="40">
        <f>IFERROR(F267-H267-J267,0)</f>
        <v/>
      </c>
      <c r="G268" s="41">
        <f>IF($H$4="PRICE",$L$4,IF($H$4="SAC",$L$5,0))</f>
        <v/>
      </c>
      <c r="H268" s="42">
        <f>IFERROR(IF($H$4="SAC",$D$4/$D$6,G268-I268-K268),0)</f>
        <v/>
      </c>
      <c r="I268" s="43">
        <f>IFERROR(F268*$D$7,0)</f>
        <v/>
      </c>
      <c r="J268" s="44" t="n"/>
      <c r="K268" s="45">
        <f>IFERROR($H$5,0)</f>
        <v/>
      </c>
      <c r="L268" s="46" t="n"/>
      <c r="M268" s="44" t="n"/>
      <c r="N268" s="47">
        <f>IFERROR(N267+M268,N267)</f>
        <v/>
      </c>
      <c r="O268" s="48">
        <f>IF(M268="","⏳ PENDENTE",IF(M268&gt;=G268,"✅ PAGO","⚠️ PARCIAL"))</f>
        <v/>
      </c>
    </row>
    <row r="269" ht="19" customHeight="1">
      <c r="A269" s="1" t="n"/>
      <c r="B269" s="49" t="n">
        <v>256</v>
      </c>
      <c r="C269" s="50">
        <f>IFERROR(TEXT(EDATE(DATE(VALUE(RIGHT(D5,4)),MATCH(LEFT(D5,3),{"Jan","Fev","Mar","Abr","Mai","Jun","Jul","Ago","Set","Out","Nov","Dez"},0),1),255),"mmm/yyyy")</f>
        <v/>
      </c>
      <c r="D269" s="51">
        <f>IFERROR(EDATE(DATE(VALUE(RIGHT(D5,4)),MATCH(LEFT(D5,3),{"Jan","Fev","Mar","Abr","Mai","Jun","Jul","Ago","Set","Out","Nov","Dez"},0),5),255),"—")</f>
        <v/>
      </c>
      <c r="E269" s="39">
        <f>$H$4</f>
        <v/>
      </c>
      <c r="F269" s="52">
        <f>IFERROR(F268-H268-J268,0)</f>
        <v/>
      </c>
      <c r="G269" s="53">
        <f>IF($H$4="PRICE",$L$4,IF($H$4="SAC",$L$5,0))</f>
        <v/>
      </c>
      <c r="H269" s="54">
        <f>IFERROR(IF($H$4="SAC",$D$4/$D$6,G269-I269-K269),0)</f>
        <v/>
      </c>
      <c r="I269" s="55">
        <f>IFERROR(F269*$D$7,0)</f>
        <v/>
      </c>
      <c r="J269" s="44" t="n"/>
      <c r="K269" s="56">
        <f>IFERROR($H$5,0)</f>
        <v/>
      </c>
      <c r="L269" s="46" t="n"/>
      <c r="M269" s="44" t="n"/>
      <c r="N269" s="47">
        <f>IFERROR(N268+M269,N268)</f>
        <v/>
      </c>
      <c r="O269" s="48">
        <f>IF(M269="","⏳ PENDENTE",IF(M269&gt;=G269,"✅ PAGO","⚠️ PARCIAL"))</f>
        <v/>
      </c>
    </row>
    <row r="270" ht="19" customHeight="1">
      <c r="A270" s="5" t="n"/>
      <c r="B270" s="36" t="n">
        <v>257</v>
      </c>
      <c r="C270" s="37">
        <f>IFERROR(TEXT(EDATE(DATE(VALUE(RIGHT(D5,4)),MATCH(LEFT(D5,3),{"Jan","Fev","Mar","Abr","Mai","Jun","Jul","Ago","Set","Out","Nov","Dez"},0),1),256),"mmm/yyyy")</f>
        <v/>
      </c>
      <c r="D270" s="38">
        <f>IFERROR(EDATE(DATE(VALUE(RIGHT(D5,4)),MATCH(LEFT(D5,3),{"Jan","Fev","Mar","Abr","Mai","Jun","Jul","Ago","Set","Out","Nov","Dez"},0),5),256),"—")</f>
        <v/>
      </c>
      <c r="E270" s="39">
        <f>$H$4</f>
        <v/>
      </c>
      <c r="F270" s="40">
        <f>IFERROR(F269-H269-J269,0)</f>
        <v/>
      </c>
      <c r="G270" s="41">
        <f>IF($H$4="PRICE",$L$4,IF($H$4="SAC",$L$5,0))</f>
        <v/>
      </c>
      <c r="H270" s="42">
        <f>IFERROR(IF($H$4="SAC",$D$4/$D$6,G270-I270-K270),0)</f>
        <v/>
      </c>
      <c r="I270" s="43">
        <f>IFERROR(F270*$D$7,0)</f>
        <v/>
      </c>
      <c r="J270" s="44" t="n"/>
      <c r="K270" s="45">
        <f>IFERROR($H$5,0)</f>
        <v/>
      </c>
      <c r="L270" s="46" t="n"/>
      <c r="M270" s="44" t="n"/>
      <c r="N270" s="47">
        <f>IFERROR(N269+M270,N269)</f>
        <v/>
      </c>
      <c r="O270" s="48">
        <f>IF(M270="","⏳ PENDENTE",IF(M270&gt;=G270,"✅ PAGO","⚠️ PARCIAL"))</f>
        <v/>
      </c>
    </row>
    <row r="271" ht="19" customHeight="1">
      <c r="A271" s="1" t="n"/>
      <c r="B271" s="49" t="n">
        <v>258</v>
      </c>
      <c r="C271" s="50">
        <f>IFERROR(TEXT(EDATE(DATE(VALUE(RIGHT(D5,4)),MATCH(LEFT(D5,3),{"Jan","Fev","Mar","Abr","Mai","Jun","Jul","Ago","Set","Out","Nov","Dez"},0),1),257),"mmm/yyyy")</f>
        <v/>
      </c>
      <c r="D271" s="51">
        <f>IFERROR(EDATE(DATE(VALUE(RIGHT(D5,4)),MATCH(LEFT(D5,3),{"Jan","Fev","Mar","Abr","Mai","Jun","Jul","Ago","Set","Out","Nov","Dez"},0),5),257),"—")</f>
        <v/>
      </c>
      <c r="E271" s="39">
        <f>$H$4</f>
        <v/>
      </c>
      <c r="F271" s="52">
        <f>IFERROR(F270-H270-J270,0)</f>
        <v/>
      </c>
      <c r="G271" s="53">
        <f>IF($H$4="PRICE",$L$4,IF($H$4="SAC",$L$5,0))</f>
        <v/>
      </c>
      <c r="H271" s="54">
        <f>IFERROR(IF($H$4="SAC",$D$4/$D$6,G271-I271-K271),0)</f>
        <v/>
      </c>
      <c r="I271" s="55">
        <f>IFERROR(F271*$D$7,0)</f>
        <v/>
      </c>
      <c r="J271" s="44" t="n"/>
      <c r="K271" s="56">
        <f>IFERROR($H$5,0)</f>
        <v/>
      </c>
      <c r="L271" s="46" t="n"/>
      <c r="M271" s="44" t="n"/>
      <c r="N271" s="47">
        <f>IFERROR(N270+M271,N270)</f>
        <v/>
      </c>
      <c r="O271" s="48">
        <f>IF(M271="","⏳ PENDENTE",IF(M271&gt;=G271,"✅ PAGO","⚠️ PARCIAL"))</f>
        <v/>
      </c>
    </row>
    <row r="272" ht="19" customHeight="1">
      <c r="A272" s="5" t="n"/>
      <c r="B272" s="36" t="n">
        <v>259</v>
      </c>
      <c r="C272" s="37">
        <f>IFERROR(TEXT(EDATE(DATE(VALUE(RIGHT(D5,4)),MATCH(LEFT(D5,3),{"Jan","Fev","Mar","Abr","Mai","Jun","Jul","Ago","Set","Out","Nov","Dez"},0),1),258),"mmm/yyyy")</f>
        <v/>
      </c>
      <c r="D272" s="38">
        <f>IFERROR(EDATE(DATE(VALUE(RIGHT(D5,4)),MATCH(LEFT(D5,3),{"Jan","Fev","Mar","Abr","Mai","Jun","Jul","Ago","Set","Out","Nov","Dez"},0),5),258),"—")</f>
        <v/>
      </c>
      <c r="E272" s="39">
        <f>$H$4</f>
        <v/>
      </c>
      <c r="F272" s="40">
        <f>IFERROR(F271-H271-J271,0)</f>
        <v/>
      </c>
      <c r="G272" s="41">
        <f>IF($H$4="PRICE",$L$4,IF($H$4="SAC",$L$5,0))</f>
        <v/>
      </c>
      <c r="H272" s="42">
        <f>IFERROR(IF($H$4="SAC",$D$4/$D$6,G272-I272-K272),0)</f>
        <v/>
      </c>
      <c r="I272" s="43">
        <f>IFERROR(F272*$D$7,0)</f>
        <v/>
      </c>
      <c r="J272" s="44" t="n"/>
      <c r="K272" s="45">
        <f>IFERROR($H$5,0)</f>
        <v/>
      </c>
      <c r="L272" s="46" t="n"/>
      <c r="M272" s="44" t="n"/>
      <c r="N272" s="47">
        <f>IFERROR(N271+M272,N271)</f>
        <v/>
      </c>
      <c r="O272" s="48">
        <f>IF(M272="","⏳ PENDENTE",IF(M272&gt;=G272,"✅ PAGO","⚠️ PARCIAL"))</f>
        <v/>
      </c>
    </row>
    <row r="273" ht="19" customHeight="1">
      <c r="A273" s="1" t="n"/>
      <c r="B273" s="49" t="n">
        <v>260</v>
      </c>
      <c r="C273" s="50">
        <f>IFERROR(TEXT(EDATE(DATE(VALUE(RIGHT(D5,4)),MATCH(LEFT(D5,3),{"Jan","Fev","Mar","Abr","Mai","Jun","Jul","Ago","Set","Out","Nov","Dez"},0),1),259),"mmm/yyyy")</f>
        <v/>
      </c>
      <c r="D273" s="51">
        <f>IFERROR(EDATE(DATE(VALUE(RIGHT(D5,4)),MATCH(LEFT(D5,3),{"Jan","Fev","Mar","Abr","Mai","Jun","Jul","Ago","Set","Out","Nov","Dez"},0),5),259),"—")</f>
        <v/>
      </c>
      <c r="E273" s="39">
        <f>$H$4</f>
        <v/>
      </c>
      <c r="F273" s="52">
        <f>IFERROR(F272-H272-J272,0)</f>
        <v/>
      </c>
      <c r="G273" s="53">
        <f>IF($H$4="PRICE",$L$4,IF($H$4="SAC",$L$5,0))</f>
        <v/>
      </c>
      <c r="H273" s="54">
        <f>IFERROR(IF($H$4="SAC",$D$4/$D$6,G273-I273-K273),0)</f>
        <v/>
      </c>
      <c r="I273" s="55">
        <f>IFERROR(F273*$D$7,0)</f>
        <v/>
      </c>
      <c r="J273" s="44" t="n"/>
      <c r="K273" s="56">
        <f>IFERROR($H$5,0)</f>
        <v/>
      </c>
      <c r="L273" s="46" t="n"/>
      <c r="M273" s="44" t="n"/>
      <c r="N273" s="47">
        <f>IFERROR(N272+M273,N272)</f>
        <v/>
      </c>
      <c r="O273" s="48">
        <f>IF(M273="","⏳ PENDENTE",IF(M273&gt;=G273,"✅ PAGO","⚠️ PARCIAL"))</f>
        <v/>
      </c>
    </row>
    <row r="274" ht="19" customHeight="1">
      <c r="A274" s="5" t="n"/>
      <c r="B274" s="36" t="n">
        <v>261</v>
      </c>
      <c r="C274" s="37">
        <f>IFERROR(TEXT(EDATE(DATE(VALUE(RIGHT(D5,4)),MATCH(LEFT(D5,3),{"Jan","Fev","Mar","Abr","Mai","Jun","Jul","Ago","Set","Out","Nov","Dez"},0),1),260),"mmm/yyyy")</f>
        <v/>
      </c>
      <c r="D274" s="38">
        <f>IFERROR(EDATE(DATE(VALUE(RIGHT(D5,4)),MATCH(LEFT(D5,3),{"Jan","Fev","Mar","Abr","Mai","Jun","Jul","Ago","Set","Out","Nov","Dez"},0),5),260),"—")</f>
        <v/>
      </c>
      <c r="E274" s="39">
        <f>$H$4</f>
        <v/>
      </c>
      <c r="F274" s="40">
        <f>IFERROR(F273-H273-J273,0)</f>
        <v/>
      </c>
      <c r="G274" s="41">
        <f>IF($H$4="PRICE",$L$4,IF($H$4="SAC",$L$5,0))</f>
        <v/>
      </c>
      <c r="H274" s="42">
        <f>IFERROR(IF($H$4="SAC",$D$4/$D$6,G274-I274-K274),0)</f>
        <v/>
      </c>
      <c r="I274" s="43">
        <f>IFERROR(F274*$D$7,0)</f>
        <v/>
      </c>
      <c r="J274" s="44" t="n"/>
      <c r="K274" s="45">
        <f>IFERROR($H$5,0)</f>
        <v/>
      </c>
      <c r="L274" s="46" t="n"/>
      <c r="M274" s="44" t="n"/>
      <c r="N274" s="47">
        <f>IFERROR(N273+M274,N273)</f>
        <v/>
      </c>
      <c r="O274" s="48">
        <f>IF(M274="","⏳ PENDENTE",IF(M274&gt;=G274,"✅ PAGO","⚠️ PARCIAL"))</f>
        <v/>
      </c>
    </row>
    <row r="275" ht="19" customHeight="1">
      <c r="A275" s="1" t="n"/>
      <c r="B275" s="49" t="n">
        <v>262</v>
      </c>
      <c r="C275" s="50">
        <f>IFERROR(TEXT(EDATE(DATE(VALUE(RIGHT(D5,4)),MATCH(LEFT(D5,3),{"Jan","Fev","Mar","Abr","Mai","Jun","Jul","Ago","Set","Out","Nov","Dez"},0),1),261),"mmm/yyyy")</f>
        <v/>
      </c>
      <c r="D275" s="51">
        <f>IFERROR(EDATE(DATE(VALUE(RIGHT(D5,4)),MATCH(LEFT(D5,3),{"Jan","Fev","Mar","Abr","Mai","Jun","Jul","Ago","Set","Out","Nov","Dez"},0),5),261),"—")</f>
        <v/>
      </c>
      <c r="E275" s="39">
        <f>$H$4</f>
        <v/>
      </c>
      <c r="F275" s="52">
        <f>IFERROR(F274-H274-J274,0)</f>
        <v/>
      </c>
      <c r="G275" s="53">
        <f>IF($H$4="PRICE",$L$4,IF($H$4="SAC",$L$5,0))</f>
        <v/>
      </c>
      <c r="H275" s="54">
        <f>IFERROR(IF($H$4="SAC",$D$4/$D$6,G275-I275-K275),0)</f>
        <v/>
      </c>
      <c r="I275" s="55">
        <f>IFERROR(F275*$D$7,0)</f>
        <v/>
      </c>
      <c r="J275" s="44" t="n"/>
      <c r="K275" s="56">
        <f>IFERROR($H$5,0)</f>
        <v/>
      </c>
      <c r="L275" s="46" t="n"/>
      <c r="M275" s="44" t="n"/>
      <c r="N275" s="47">
        <f>IFERROR(N274+M275,N274)</f>
        <v/>
      </c>
      <c r="O275" s="48">
        <f>IF(M275="","⏳ PENDENTE",IF(M275&gt;=G275,"✅ PAGO","⚠️ PARCIAL"))</f>
        <v/>
      </c>
    </row>
    <row r="276" ht="19" customHeight="1">
      <c r="A276" s="5" t="n"/>
      <c r="B276" s="36" t="n">
        <v>263</v>
      </c>
      <c r="C276" s="37">
        <f>IFERROR(TEXT(EDATE(DATE(VALUE(RIGHT(D5,4)),MATCH(LEFT(D5,3),{"Jan","Fev","Mar","Abr","Mai","Jun","Jul","Ago","Set","Out","Nov","Dez"},0),1),262),"mmm/yyyy")</f>
        <v/>
      </c>
      <c r="D276" s="38">
        <f>IFERROR(EDATE(DATE(VALUE(RIGHT(D5,4)),MATCH(LEFT(D5,3),{"Jan","Fev","Mar","Abr","Mai","Jun","Jul","Ago","Set","Out","Nov","Dez"},0),5),262),"—")</f>
        <v/>
      </c>
      <c r="E276" s="39">
        <f>$H$4</f>
        <v/>
      </c>
      <c r="F276" s="40">
        <f>IFERROR(F275-H275-J275,0)</f>
        <v/>
      </c>
      <c r="G276" s="41">
        <f>IF($H$4="PRICE",$L$4,IF($H$4="SAC",$L$5,0))</f>
        <v/>
      </c>
      <c r="H276" s="42">
        <f>IFERROR(IF($H$4="SAC",$D$4/$D$6,G276-I276-K276),0)</f>
        <v/>
      </c>
      <c r="I276" s="43">
        <f>IFERROR(F276*$D$7,0)</f>
        <v/>
      </c>
      <c r="J276" s="44" t="n"/>
      <c r="K276" s="45">
        <f>IFERROR($H$5,0)</f>
        <v/>
      </c>
      <c r="L276" s="46" t="n"/>
      <c r="M276" s="44" t="n"/>
      <c r="N276" s="47">
        <f>IFERROR(N275+M276,N275)</f>
        <v/>
      </c>
      <c r="O276" s="48">
        <f>IF(M276="","⏳ PENDENTE",IF(M276&gt;=G276,"✅ PAGO","⚠️ PARCIAL"))</f>
        <v/>
      </c>
    </row>
    <row r="277" ht="19" customHeight="1">
      <c r="A277" s="1" t="n"/>
      <c r="B277" s="49" t="n">
        <v>264</v>
      </c>
      <c r="C277" s="50">
        <f>IFERROR(TEXT(EDATE(DATE(VALUE(RIGHT(D5,4)),MATCH(LEFT(D5,3),{"Jan","Fev","Mar","Abr","Mai","Jun","Jul","Ago","Set","Out","Nov","Dez"},0),1),263),"mmm/yyyy")</f>
        <v/>
      </c>
      <c r="D277" s="51">
        <f>IFERROR(EDATE(DATE(VALUE(RIGHT(D5,4)),MATCH(LEFT(D5,3),{"Jan","Fev","Mar","Abr","Mai","Jun","Jul","Ago","Set","Out","Nov","Dez"},0),5),263),"—")</f>
        <v/>
      </c>
      <c r="E277" s="39">
        <f>$H$4</f>
        <v/>
      </c>
      <c r="F277" s="52">
        <f>IFERROR(F276-H276-J276,0)</f>
        <v/>
      </c>
      <c r="G277" s="53">
        <f>IF($H$4="PRICE",$L$4,IF($H$4="SAC",$L$5,0))</f>
        <v/>
      </c>
      <c r="H277" s="54">
        <f>IFERROR(IF($H$4="SAC",$D$4/$D$6,G277-I277-K277),0)</f>
        <v/>
      </c>
      <c r="I277" s="55">
        <f>IFERROR(F277*$D$7,0)</f>
        <v/>
      </c>
      <c r="J277" s="44" t="n"/>
      <c r="K277" s="56">
        <f>IFERROR($H$5,0)</f>
        <v/>
      </c>
      <c r="L277" s="46" t="n"/>
      <c r="M277" s="44" t="n"/>
      <c r="N277" s="47">
        <f>IFERROR(N276+M277,N276)</f>
        <v/>
      </c>
      <c r="O277" s="48">
        <f>IF(M277="","⏳ PENDENTE",IF(M277&gt;=G277,"✅ PAGO","⚠️ PARCIAL"))</f>
        <v/>
      </c>
    </row>
    <row r="278" ht="19" customHeight="1">
      <c r="A278" s="5" t="n"/>
      <c r="B278" s="36" t="n">
        <v>265</v>
      </c>
      <c r="C278" s="37">
        <f>IFERROR(TEXT(EDATE(DATE(VALUE(RIGHT(D5,4)),MATCH(LEFT(D5,3),{"Jan","Fev","Mar","Abr","Mai","Jun","Jul","Ago","Set","Out","Nov","Dez"},0),1),264),"mmm/yyyy")</f>
        <v/>
      </c>
      <c r="D278" s="38">
        <f>IFERROR(EDATE(DATE(VALUE(RIGHT(D5,4)),MATCH(LEFT(D5,3),{"Jan","Fev","Mar","Abr","Mai","Jun","Jul","Ago","Set","Out","Nov","Dez"},0),5),264),"—")</f>
        <v/>
      </c>
      <c r="E278" s="39">
        <f>$H$4</f>
        <v/>
      </c>
      <c r="F278" s="40">
        <f>IFERROR(F277-H277-J277,0)</f>
        <v/>
      </c>
      <c r="G278" s="41">
        <f>IF($H$4="PRICE",$L$4,IF($H$4="SAC",$L$5,0))</f>
        <v/>
      </c>
      <c r="H278" s="42">
        <f>IFERROR(IF($H$4="SAC",$D$4/$D$6,G278-I278-K278),0)</f>
        <v/>
      </c>
      <c r="I278" s="43">
        <f>IFERROR(F278*$D$7,0)</f>
        <v/>
      </c>
      <c r="J278" s="44" t="n"/>
      <c r="K278" s="45">
        <f>IFERROR($H$5,0)</f>
        <v/>
      </c>
      <c r="L278" s="46" t="n"/>
      <c r="M278" s="44" t="n"/>
      <c r="N278" s="47">
        <f>IFERROR(N277+M278,N277)</f>
        <v/>
      </c>
      <c r="O278" s="48">
        <f>IF(M278="","⏳ PENDENTE",IF(M278&gt;=G278,"✅ PAGO","⚠️ PARCIAL"))</f>
        <v/>
      </c>
    </row>
    <row r="279" ht="19" customHeight="1">
      <c r="A279" s="1" t="n"/>
      <c r="B279" s="49" t="n">
        <v>266</v>
      </c>
      <c r="C279" s="50">
        <f>IFERROR(TEXT(EDATE(DATE(VALUE(RIGHT(D5,4)),MATCH(LEFT(D5,3),{"Jan","Fev","Mar","Abr","Mai","Jun","Jul","Ago","Set","Out","Nov","Dez"},0),1),265),"mmm/yyyy")</f>
        <v/>
      </c>
      <c r="D279" s="51">
        <f>IFERROR(EDATE(DATE(VALUE(RIGHT(D5,4)),MATCH(LEFT(D5,3),{"Jan","Fev","Mar","Abr","Mai","Jun","Jul","Ago","Set","Out","Nov","Dez"},0),5),265),"—")</f>
        <v/>
      </c>
      <c r="E279" s="39">
        <f>$H$4</f>
        <v/>
      </c>
      <c r="F279" s="52">
        <f>IFERROR(F278-H278-J278,0)</f>
        <v/>
      </c>
      <c r="G279" s="53">
        <f>IF($H$4="PRICE",$L$4,IF($H$4="SAC",$L$5,0))</f>
        <v/>
      </c>
      <c r="H279" s="54">
        <f>IFERROR(IF($H$4="SAC",$D$4/$D$6,G279-I279-K279),0)</f>
        <v/>
      </c>
      <c r="I279" s="55">
        <f>IFERROR(F279*$D$7,0)</f>
        <v/>
      </c>
      <c r="J279" s="44" t="n"/>
      <c r="K279" s="56">
        <f>IFERROR($H$5,0)</f>
        <v/>
      </c>
      <c r="L279" s="46" t="n"/>
      <c r="M279" s="44" t="n"/>
      <c r="N279" s="47">
        <f>IFERROR(N278+M279,N278)</f>
        <v/>
      </c>
      <c r="O279" s="48">
        <f>IF(M279="","⏳ PENDENTE",IF(M279&gt;=G279,"✅ PAGO","⚠️ PARCIAL"))</f>
        <v/>
      </c>
    </row>
    <row r="280" ht="19" customHeight="1">
      <c r="A280" s="5" t="n"/>
      <c r="B280" s="36" t="n">
        <v>267</v>
      </c>
      <c r="C280" s="37">
        <f>IFERROR(TEXT(EDATE(DATE(VALUE(RIGHT(D5,4)),MATCH(LEFT(D5,3),{"Jan","Fev","Mar","Abr","Mai","Jun","Jul","Ago","Set","Out","Nov","Dez"},0),1),266),"mmm/yyyy")</f>
        <v/>
      </c>
      <c r="D280" s="38">
        <f>IFERROR(EDATE(DATE(VALUE(RIGHT(D5,4)),MATCH(LEFT(D5,3),{"Jan","Fev","Mar","Abr","Mai","Jun","Jul","Ago","Set","Out","Nov","Dez"},0),5),266),"—")</f>
        <v/>
      </c>
      <c r="E280" s="39">
        <f>$H$4</f>
        <v/>
      </c>
      <c r="F280" s="40">
        <f>IFERROR(F279-H279-J279,0)</f>
        <v/>
      </c>
      <c r="G280" s="41">
        <f>IF($H$4="PRICE",$L$4,IF($H$4="SAC",$L$5,0))</f>
        <v/>
      </c>
      <c r="H280" s="42">
        <f>IFERROR(IF($H$4="SAC",$D$4/$D$6,G280-I280-K280),0)</f>
        <v/>
      </c>
      <c r="I280" s="43">
        <f>IFERROR(F280*$D$7,0)</f>
        <v/>
      </c>
      <c r="J280" s="44" t="n"/>
      <c r="K280" s="45">
        <f>IFERROR($H$5,0)</f>
        <v/>
      </c>
      <c r="L280" s="46" t="n"/>
      <c r="M280" s="44" t="n"/>
      <c r="N280" s="47">
        <f>IFERROR(N279+M280,N279)</f>
        <v/>
      </c>
      <c r="O280" s="48">
        <f>IF(M280="","⏳ PENDENTE",IF(M280&gt;=G280,"✅ PAGO","⚠️ PARCIAL"))</f>
        <v/>
      </c>
    </row>
    <row r="281" ht="19" customHeight="1">
      <c r="A281" s="1" t="n"/>
      <c r="B281" s="49" t="n">
        <v>268</v>
      </c>
      <c r="C281" s="50">
        <f>IFERROR(TEXT(EDATE(DATE(VALUE(RIGHT(D5,4)),MATCH(LEFT(D5,3),{"Jan","Fev","Mar","Abr","Mai","Jun","Jul","Ago","Set","Out","Nov","Dez"},0),1),267),"mmm/yyyy")</f>
        <v/>
      </c>
      <c r="D281" s="51">
        <f>IFERROR(EDATE(DATE(VALUE(RIGHT(D5,4)),MATCH(LEFT(D5,3),{"Jan","Fev","Mar","Abr","Mai","Jun","Jul","Ago","Set","Out","Nov","Dez"},0),5),267),"—")</f>
        <v/>
      </c>
      <c r="E281" s="39">
        <f>$H$4</f>
        <v/>
      </c>
      <c r="F281" s="52">
        <f>IFERROR(F280-H280-J280,0)</f>
        <v/>
      </c>
      <c r="G281" s="53">
        <f>IF($H$4="PRICE",$L$4,IF($H$4="SAC",$L$5,0))</f>
        <v/>
      </c>
      <c r="H281" s="54">
        <f>IFERROR(IF($H$4="SAC",$D$4/$D$6,G281-I281-K281),0)</f>
        <v/>
      </c>
      <c r="I281" s="55">
        <f>IFERROR(F281*$D$7,0)</f>
        <v/>
      </c>
      <c r="J281" s="44" t="n"/>
      <c r="K281" s="56">
        <f>IFERROR($H$5,0)</f>
        <v/>
      </c>
      <c r="L281" s="46" t="n"/>
      <c r="M281" s="44" t="n"/>
      <c r="N281" s="47">
        <f>IFERROR(N280+M281,N280)</f>
        <v/>
      </c>
      <c r="O281" s="48">
        <f>IF(M281="","⏳ PENDENTE",IF(M281&gt;=G281,"✅ PAGO","⚠️ PARCIAL"))</f>
        <v/>
      </c>
    </row>
    <row r="282" ht="19" customHeight="1">
      <c r="A282" s="5" t="n"/>
      <c r="B282" s="36" t="n">
        <v>269</v>
      </c>
      <c r="C282" s="37">
        <f>IFERROR(TEXT(EDATE(DATE(VALUE(RIGHT(D5,4)),MATCH(LEFT(D5,3),{"Jan","Fev","Mar","Abr","Mai","Jun","Jul","Ago","Set","Out","Nov","Dez"},0),1),268),"mmm/yyyy")</f>
        <v/>
      </c>
      <c r="D282" s="38">
        <f>IFERROR(EDATE(DATE(VALUE(RIGHT(D5,4)),MATCH(LEFT(D5,3),{"Jan","Fev","Mar","Abr","Mai","Jun","Jul","Ago","Set","Out","Nov","Dez"},0),5),268),"—")</f>
        <v/>
      </c>
      <c r="E282" s="39">
        <f>$H$4</f>
        <v/>
      </c>
      <c r="F282" s="40">
        <f>IFERROR(F281-H281-J281,0)</f>
        <v/>
      </c>
      <c r="G282" s="41">
        <f>IF($H$4="PRICE",$L$4,IF($H$4="SAC",$L$5,0))</f>
        <v/>
      </c>
      <c r="H282" s="42">
        <f>IFERROR(IF($H$4="SAC",$D$4/$D$6,G282-I282-K282),0)</f>
        <v/>
      </c>
      <c r="I282" s="43">
        <f>IFERROR(F282*$D$7,0)</f>
        <v/>
      </c>
      <c r="J282" s="44" t="n"/>
      <c r="K282" s="45">
        <f>IFERROR($H$5,0)</f>
        <v/>
      </c>
      <c r="L282" s="46" t="n"/>
      <c r="M282" s="44" t="n"/>
      <c r="N282" s="47">
        <f>IFERROR(N281+M282,N281)</f>
        <v/>
      </c>
      <c r="O282" s="48">
        <f>IF(M282="","⏳ PENDENTE",IF(M282&gt;=G282,"✅ PAGO","⚠️ PARCIAL"))</f>
        <v/>
      </c>
    </row>
    <row r="283" ht="19" customHeight="1">
      <c r="A283" s="1" t="n"/>
      <c r="B283" s="49" t="n">
        <v>270</v>
      </c>
      <c r="C283" s="50">
        <f>IFERROR(TEXT(EDATE(DATE(VALUE(RIGHT(D5,4)),MATCH(LEFT(D5,3),{"Jan","Fev","Mar","Abr","Mai","Jun","Jul","Ago","Set","Out","Nov","Dez"},0),1),269),"mmm/yyyy")</f>
        <v/>
      </c>
      <c r="D283" s="51">
        <f>IFERROR(EDATE(DATE(VALUE(RIGHT(D5,4)),MATCH(LEFT(D5,3),{"Jan","Fev","Mar","Abr","Mai","Jun","Jul","Ago","Set","Out","Nov","Dez"},0),5),269),"—")</f>
        <v/>
      </c>
      <c r="E283" s="39">
        <f>$H$4</f>
        <v/>
      </c>
      <c r="F283" s="52">
        <f>IFERROR(F282-H282-J282,0)</f>
        <v/>
      </c>
      <c r="G283" s="53">
        <f>IF($H$4="PRICE",$L$4,IF($H$4="SAC",$L$5,0))</f>
        <v/>
      </c>
      <c r="H283" s="54">
        <f>IFERROR(IF($H$4="SAC",$D$4/$D$6,G283-I283-K283),0)</f>
        <v/>
      </c>
      <c r="I283" s="55">
        <f>IFERROR(F283*$D$7,0)</f>
        <v/>
      </c>
      <c r="J283" s="44" t="n"/>
      <c r="K283" s="56">
        <f>IFERROR($H$5,0)</f>
        <v/>
      </c>
      <c r="L283" s="46" t="n"/>
      <c r="M283" s="44" t="n"/>
      <c r="N283" s="47">
        <f>IFERROR(N282+M283,N282)</f>
        <v/>
      </c>
      <c r="O283" s="48">
        <f>IF(M283="","⏳ PENDENTE",IF(M283&gt;=G283,"✅ PAGO","⚠️ PARCIAL"))</f>
        <v/>
      </c>
    </row>
    <row r="284" ht="19" customHeight="1">
      <c r="A284" s="5" t="n"/>
      <c r="B284" s="36" t="n">
        <v>271</v>
      </c>
      <c r="C284" s="37">
        <f>IFERROR(TEXT(EDATE(DATE(VALUE(RIGHT(D5,4)),MATCH(LEFT(D5,3),{"Jan","Fev","Mar","Abr","Mai","Jun","Jul","Ago","Set","Out","Nov","Dez"},0),1),270),"mmm/yyyy")</f>
        <v/>
      </c>
      <c r="D284" s="38">
        <f>IFERROR(EDATE(DATE(VALUE(RIGHT(D5,4)),MATCH(LEFT(D5,3),{"Jan","Fev","Mar","Abr","Mai","Jun","Jul","Ago","Set","Out","Nov","Dez"},0),5),270),"—")</f>
        <v/>
      </c>
      <c r="E284" s="39">
        <f>$H$4</f>
        <v/>
      </c>
      <c r="F284" s="40">
        <f>IFERROR(F283-H283-J283,0)</f>
        <v/>
      </c>
      <c r="G284" s="41">
        <f>IF($H$4="PRICE",$L$4,IF($H$4="SAC",$L$5,0))</f>
        <v/>
      </c>
      <c r="H284" s="42">
        <f>IFERROR(IF($H$4="SAC",$D$4/$D$6,G284-I284-K284),0)</f>
        <v/>
      </c>
      <c r="I284" s="43">
        <f>IFERROR(F284*$D$7,0)</f>
        <v/>
      </c>
      <c r="J284" s="44" t="n"/>
      <c r="K284" s="45">
        <f>IFERROR($H$5,0)</f>
        <v/>
      </c>
      <c r="L284" s="46" t="n"/>
      <c r="M284" s="44" t="n"/>
      <c r="N284" s="47">
        <f>IFERROR(N283+M284,N283)</f>
        <v/>
      </c>
      <c r="O284" s="48">
        <f>IF(M284="","⏳ PENDENTE",IF(M284&gt;=G284,"✅ PAGO","⚠️ PARCIAL"))</f>
        <v/>
      </c>
    </row>
    <row r="285" ht="19" customHeight="1">
      <c r="A285" s="1" t="n"/>
      <c r="B285" s="49" t="n">
        <v>272</v>
      </c>
      <c r="C285" s="50">
        <f>IFERROR(TEXT(EDATE(DATE(VALUE(RIGHT(D5,4)),MATCH(LEFT(D5,3),{"Jan","Fev","Mar","Abr","Mai","Jun","Jul","Ago","Set","Out","Nov","Dez"},0),1),271),"mmm/yyyy")</f>
        <v/>
      </c>
      <c r="D285" s="51">
        <f>IFERROR(EDATE(DATE(VALUE(RIGHT(D5,4)),MATCH(LEFT(D5,3),{"Jan","Fev","Mar","Abr","Mai","Jun","Jul","Ago","Set","Out","Nov","Dez"},0),5),271),"—")</f>
        <v/>
      </c>
      <c r="E285" s="39">
        <f>$H$4</f>
        <v/>
      </c>
      <c r="F285" s="52">
        <f>IFERROR(F284-H284-J284,0)</f>
        <v/>
      </c>
      <c r="G285" s="53">
        <f>IF($H$4="PRICE",$L$4,IF($H$4="SAC",$L$5,0))</f>
        <v/>
      </c>
      <c r="H285" s="54">
        <f>IFERROR(IF($H$4="SAC",$D$4/$D$6,G285-I285-K285),0)</f>
        <v/>
      </c>
      <c r="I285" s="55">
        <f>IFERROR(F285*$D$7,0)</f>
        <v/>
      </c>
      <c r="J285" s="44" t="n"/>
      <c r="K285" s="56">
        <f>IFERROR($H$5,0)</f>
        <v/>
      </c>
      <c r="L285" s="46" t="n"/>
      <c r="M285" s="44" t="n"/>
      <c r="N285" s="47">
        <f>IFERROR(N284+M285,N284)</f>
        <v/>
      </c>
      <c r="O285" s="48">
        <f>IF(M285="","⏳ PENDENTE",IF(M285&gt;=G285,"✅ PAGO","⚠️ PARCIAL"))</f>
        <v/>
      </c>
    </row>
    <row r="286" ht="19" customHeight="1">
      <c r="A286" s="5" t="n"/>
      <c r="B286" s="36" t="n">
        <v>273</v>
      </c>
      <c r="C286" s="37">
        <f>IFERROR(TEXT(EDATE(DATE(VALUE(RIGHT(D5,4)),MATCH(LEFT(D5,3),{"Jan","Fev","Mar","Abr","Mai","Jun","Jul","Ago","Set","Out","Nov","Dez"},0),1),272),"mmm/yyyy")</f>
        <v/>
      </c>
      <c r="D286" s="38">
        <f>IFERROR(EDATE(DATE(VALUE(RIGHT(D5,4)),MATCH(LEFT(D5,3),{"Jan","Fev","Mar","Abr","Mai","Jun","Jul","Ago","Set","Out","Nov","Dez"},0),5),272),"—")</f>
        <v/>
      </c>
      <c r="E286" s="39">
        <f>$H$4</f>
        <v/>
      </c>
      <c r="F286" s="40">
        <f>IFERROR(F285-H285-J285,0)</f>
        <v/>
      </c>
      <c r="G286" s="41">
        <f>IF($H$4="PRICE",$L$4,IF($H$4="SAC",$L$5,0))</f>
        <v/>
      </c>
      <c r="H286" s="42">
        <f>IFERROR(IF($H$4="SAC",$D$4/$D$6,G286-I286-K286),0)</f>
        <v/>
      </c>
      <c r="I286" s="43">
        <f>IFERROR(F286*$D$7,0)</f>
        <v/>
      </c>
      <c r="J286" s="44" t="n"/>
      <c r="K286" s="45">
        <f>IFERROR($H$5,0)</f>
        <v/>
      </c>
      <c r="L286" s="46" t="n"/>
      <c r="M286" s="44" t="n"/>
      <c r="N286" s="47">
        <f>IFERROR(N285+M286,N285)</f>
        <v/>
      </c>
      <c r="O286" s="48">
        <f>IF(M286="","⏳ PENDENTE",IF(M286&gt;=G286,"✅ PAGO","⚠️ PARCIAL"))</f>
        <v/>
      </c>
    </row>
    <row r="287" ht="19" customHeight="1">
      <c r="A287" s="1" t="n"/>
      <c r="B287" s="49" t="n">
        <v>274</v>
      </c>
      <c r="C287" s="50">
        <f>IFERROR(TEXT(EDATE(DATE(VALUE(RIGHT(D5,4)),MATCH(LEFT(D5,3),{"Jan","Fev","Mar","Abr","Mai","Jun","Jul","Ago","Set","Out","Nov","Dez"},0),1),273),"mmm/yyyy")</f>
        <v/>
      </c>
      <c r="D287" s="51">
        <f>IFERROR(EDATE(DATE(VALUE(RIGHT(D5,4)),MATCH(LEFT(D5,3),{"Jan","Fev","Mar","Abr","Mai","Jun","Jul","Ago","Set","Out","Nov","Dez"},0),5),273),"—")</f>
        <v/>
      </c>
      <c r="E287" s="39">
        <f>$H$4</f>
        <v/>
      </c>
      <c r="F287" s="52">
        <f>IFERROR(F286-H286-J286,0)</f>
        <v/>
      </c>
      <c r="G287" s="53">
        <f>IF($H$4="PRICE",$L$4,IF($H$4="SAC",$L$5,0))</f>
        <v/>
      </c>
      <c r="H287" s="54">
        <f>IFERROR(IF($H$4="SAC",$D$4/$D$6,G287-I287-K287),0)</f>
        <v/>
      </c>
      <c r="I287" s="55">
        <f>IFERROR(F287*$D$7,0)</f>
        <v/>
      </c>
      <c r="J287" s="44" t="n"/>
      <c r="K287" s="56">
        <f>IFERROR($H$5,0)</f>
        <v/>
      </c>
      <c r="L287" s="46" t="n"/>
      <c r="M287" s="44" t="n"/>
      <c r="N287" s="47">
        <f>IFERROR(N286+M287,N286)</f>
        <v/>
      </c>
      <c r="O287" s="48">
        <f>IF(M287="","⏳ PENDENTE",IF(M287&gt;=G287,"✅ PAGO","⚠️ PARCIAL"))</f>
        <v/>
      </c>
    </row>
    <row r="288" ht="19" customHeight="1">
      <c r="A288" s="5" t="n"/>
      <c r="B288" s="36" t="n">
        <v>275</v>
      </c>
      <c r="C288" s="37">
        <f>IFERROR(TEXT(EDATE(DATE(VALUE(RIGHT(D5,4)),MATCH(LEFT(D5,3),{"Jan","Fev","Mar","Abr","Mai","Jun","Jul","Ago","Set","Out","Nov","Dez"},0),1),274),"mmm/yyyy")</f>
        <v/>
      </c>
      <c r="D288" s="38">
        <f>IFERROR(EDATE(DATE(VALUE(RIGHT(D5,4)),MATCH(LEFT(D5,3),{"Jan","Fev","Mar","Abr","Mai","Jun","Jul","Ago","Set","Out","Nov","Dez"},0),5),274),"—")</f>
        <v/>
      </c>
      <c r="E288" s="39">
        <f>$H$4</f>
        <v/>
      </c>
      <c r="F288" s="40">
        <f>IFERROR(F287-H287-J287,0)</f>
        <v/>
      </c>
      <c r="G288" s="41">
        <f>IF($H$4="PRICE",$L$4,IF($H$4="SAC",$L$5,0))</f>
        <v/>
      </c>
      <c r="H288" s="42">
        <f>IFERROR(IF($H$4="SAC",$D$4/$D$6,G288-I288-K288),0)</f>
        <v/>
      </c>
      <c r="I288" s="43">
        <f>IFERROR(F288*$D$7,0)</f>
        <v/>
      </c>
      <c r="J288" s="44" t="n"/>
      <c r="K288" s="45">
        <f>IFERROR($H$5,0)</f>
        <v/>
      </c>
      <c r="L288" s="46" t="n"/>
      <c r="M288" s="44" t="n"/>
      <c r="N288" s="47">
        <f>IFERROR(N287+M288,N287)</f>
        <v/>
      </c>
      <c r="O288" s="48">
        <f>IF(M288="","⏳ PENDENTE",IF(M288&gt;=G288,"✅ PAGO","⚠️ PARCIAL"))</f>
        <v/>
      </c>
    </row>
    <row r="289" ht="19" customHeight="1">
      <c r="A289" s="1" t="n"/>
      <c r="B289" s="49" t="n">
        <v>276</v>
      </c>
      <c r="C289" s="50">
        <f>IFERROR(TEXT(EDATE(DATE(VALUE(RIGHT(D5,4)),MATCH(LEFT(D5,3),{"Jan","Fev","Mar","Abr","Mai","Jun","Jul","Ago","Set","Out","Nov","Dez"},0),1),275),"mmm/yyyy")</f>
        <v/>
      </c>
      <c r="D289" s="51">
        <f>IFERROR(EDATE(DATE(VALUE(RIGHT(D5,4)),MATCH(LEFT(D5,3),{"Jan","Fev","Mar","Abr","Mai","Jun","Jul","Ago","Set","Out","Nov","Dez"},0),5),275),"—")</f>
        <v/>
      </c>
      <c r="E289" s="39">
        <f>$H$4</f>
        <v/>
      </c>
      <c r="F289" s="52">
        <f>IFERROR(F288-H288-J288,0)</f>
        <v/>
      </c>
      <c r="G289" s="53">
        <f>IF($H$4="PRICE",$L$4,IF($H$4="SAC",$L$5,0))</f>
        <v/>
      </c>
      <c r="H289" s="54">
        <f>IFERROR(IF($H$4="SAC",$D$4/$D$6,G289-I289-K289),0)</f>
        <v/>
      </c>
      <c r="I289" s="55">
        <f>IFERROR(F289*$D$7,0)</f>
        <v/>
      </c>
      <c r="J289" s="44" t="n"/>
      <c r="K289" s="56">
        <f>IFERROR($H$5,0)</f>
        <v/>
      </c>
      <c r="L289" s="46" t="n"/>
      <c r="M289" s="44" t="n"/>
      <c r="N289" s="47">
        <f>IFERROR(N288+M289,N288)</f>
        <v/>
      </c>
      <c r="O289" s="48">
        <f>IF(M289="","⏳ PENDENTE",IF(M289&gt;=G289,"✅ PAGO","⚠️ PARCIAL"))</f>
        <v/>
      </c>
    </row>
    <row r="290" ht="19" customHeight="1">
      <c r="A290" s="5" t="n"/>
      <c r="B290" s="36" t="n">
        <v>277</v>
      </c>
      <c r="C290" s="37">
        <f>IFERROR(TEXT(EDATE(DATE(VALUE(RIGHT(D5,4)),MATCH(LEFT(D5,3),{"Jan","Fev","Mar","Abr","Mai","Jun","Jul","Ago","Set","Out","Nov","Dez"},0),1),276),"mmm/yyyy")</f>
        <v/>
      </c>
      <c r="D290" s="38">
        <f>IFERROR(EDATE(DATE(VALUE(RIGHT(D5,4)),MATCH(LEFT(D5,3),{"Jan","Fev","Mar","Abr","Mai","Jun","Jul","Ago","Set","Out","Nov","Dez"},0),5),276),"—")</f>
        <v/>
      </c>
      <c r="E290" s="39">
        <f>$H$4</f>
        <v/>
      </c>
      <c r="F290" s="40">
        <f>IFERROR(F289-H289-J289,0)</f>
        <v/>
      </c>
      <c r="G290" s="41">
        <f>IF($H$4="PRICE",$L$4,IF($H$4="SAC",$L$5,0))</f>
        <v/>
      </c>
      <c r="H290" s="42">
        <f>IFERROR(IF($H$4="SAC",$D$4/$D$6,G290-I290-K290),0)</f>
        <v/>
      </c>
      <c r="I290" s="43">
        <f>IFERROR(F290*$D$7,0)</f>
        <v/>
      </c>
      <c r="J290" s="44" t="n"/>
      <c r="K290" s="45">
        <f>IFERROR($H$5,0)</f>
        <v/>
      </c>
      <c r="L290" s="46" t="n"/>
      <c r="M290" s="44" t="n"/>
      <c r="N290" s="47">
        <f>IFERROR(N289+M290,N289)</f>
        <v/>
      </c>
      <c r="O290" s="48">
        <f>IF(M290="","⏳ PENDENTE",IF(M290&gt;=G290,"✅ PAGO","⚠️ PARCIAL"))</f>
        <v/>
      </c>
    </row>
    <row r="291" ht="19" customHeight="1">
      <c r="A291" s="1" t="n"/>
      <c r="B291" s="49" t="n">
        <v>278</v>
      </c>
      <c r="C291" s="50">
        <f>IFERROR(TEXT(EDATE(DATE(VALUE(RIGHT(D5,4)),MATCH(LEFT(D5,3),{"Jan","Fev","Mar","Abr","Mai","Jun","Jul","Ago","Set","Out","Nov","Dez"},0),1),277),"mmm/yyyy")</f>
        <v/>
      </c>
      <c r="D291" s="51">
        <f>IFERROR(EDATE(DATE(VALUE(RIGHT(D5,4)),MATCH(LEFT(D5,3),{"Jan","Fev","Mar","Abr","Mai","Jun","Jul","Ago","Set","Out","Nov","Dez"},0),5),277),"—")</f>
        <v/>
      </c>
      <c r="E291" s="39">
        <f>$H$4</f>
        <v/>
      </c>
      <c r="F291" s="52">
        <f>IFERROR(F290-H290-J290,0)</f>
        <v/>
      </c>
      <c r="G291" s="53">
        <f>IF($H$4="PRICE",$L$4,IF($H$4="SAC",$L$5,0))</f>
        <v/>
      </c>
      <c r="H291" s="54">
        <f>IFERROR(IF($H$4="SAC",$D$4/$D$6,G291-I291-K291),0)</f>
        <v/>
      </c>
      <c r="I291" s="55">
        <f>IFERROR(F291*$D$7,0)</f>
        <v/>
      </c>
      <c r="J291" s="44" t="n"/>
      <c r="K291" s="56">
        <f>IFERROR($H$5,0)</f>
        <v/>
      </c>
      <c r="L291" s="46" t="n"/>
      <c r="M291" s="44" t="n"/>
      <c r="N291" s="47">
        <f>IFERROR(N290+M291,N290)</f>
        <v/>
      </c>
      <c r="O291" s="48">
        <f>IF(M291="","⏳ PENDENTE",IF(M291&gt;=G291,"✅ PAGO","⚠️ PARCIAL"))</f>
        <v/>
      </c>
    </row>
    <row r="292" ht="19" customHeight="1">
      <c r="A292" s="5" t="n"/>
      <c r="B292" s="36" t="n">
        <v>279</v>
      </c>
      <c r="C292" s="37">
        <f>IFERROR(TEXT(EDATE(DATE(VALUE(RIGHT(D5,4)),MATCH(LEFT(D5,3),{"Jan","Fev","Mar","Abr","Mai","Jun","Jul","Ago","Set","Out","Nov","Dez"},0),1),278),"mmm/yyyy")</f>
        <v/>
      </c>
      <c r="D292" s="38">
        <f>IFERROR(EDATE(DATE(VALUE(RIGHT(D5,4)),MATCH(LEFT(D5,3),{"Jan","Fev","Mar","Abr","Mai","Jun","Jul","Ago","Set","Out","Nov","Dez"},0),5),278),"—")</f>
        <v/>
      </c>
      <c r="E292" s="39">
        <f>$H$4</f>
        <v/>
      </c>
      <c r="F292" s="40">
        <f>IFERROR(F291-H291-J291,0)</f>
        <v/>
      </c>
      <c r="G292" s="41">
        <f>IF($H$4="PRICE",$L$4,IF($H$4="SAC",$L$5,0))</f>
        <v/>
      </c>
      <c r="H292" s="42">
        <f>IFERROR(IF($H$4="SAC",$D$4/$D$6,G292-I292-K292),0)</f>
        <v/>
      </c>
      <c r="I292" s="43">
        <f>IFERROR(F292*$D$7,0)</f>
        <v/>
      </c>
      <c r="J292" s="44" t="n"/>
      <c r="K292" s="45">
        <f>IFERROR($H$5,0)</f>
        <v/>
      </c>
      <c r="L292" s="46" t="n"/>
      <c r="M292" s="44" t="n"/>
      <c r="N292" s="47">
        <f>IFERROR(N291+M292,N291)</f>
        <v/>
      </c>
      <c r="O292" s="48">
        <f>IF(M292="","⏳ PENDENTE",IF(M292&gt;=G292,"✅ PAGO","⚠️ PARCIAL"))</f>
        <v/>
      </c>
    </row>
    <row r="293" ht="19" customHeight="1">
      <c r="A293" s="1" t="n"/>
      <c r="B293" s="49" t="n">
        <v>280</v>
      </c>
      <c r="C293" s="50">
        <f>IFERROR(TEXT(EDATE(DATE(VALUE(RIGHT(D5,4)),MATCH(LEFT(D5,3),{"Jan","Fev","Mar","Abr","Mai","Jun","Jul","Ago","Set","Out","Nov","Dez"},0),1),279),"mmm/yyyy")</f>
        <v/>
      </c>
      <c r="D293" s="51">
        <f>IFERROR(EDATE(DATE(VALUE(RIGHT(D5,4)),MATCH(LEFT(D5,3),{"Jan","Fev","Mar","Abr","Mai","Jun","Jul","Ago","Set","Out","Nov","Dez"},0),5),279),"—")</f>
        <v/>
      </c>
      <c r="E293" s="39">
        <f>$H$4</f>
        <v/>
      </c>
      <c r="F293" s="52">
        <f>IFERROR(F292-H292-J292,0)</f>
        <v/>
      </c>
      <c r="G293" s="53">
        <f>IF($H$4="PRICE",$L$4,IF($H$4="SAC",$L$5,0))</f>
        <v/>
      </c>
      <c r="H293" s="54">
        <f>IFERROR(IF($H$4="SAC",$D$4/$D$6,G293-I293-K293),0)</f>
        <v/>
      </c>
      <c r="I293" s="55">
        <f>IFERROR(F293*$D$7,0)</f>
        <v/>
      </c>
      <c r="J293" s="44" t="n"/>
      <c r="K293" s="56">
        <f>IFERROR($H$5,0)</f>
        <v/>
      </c>
      <c r="L293" s="46" t="n"/>
      <c r="M293" s="44" t="n"/>
      <c r="N293" s="47">
        <f>IFERROR(N292+M293,N292)</f>
        <v/>
      </c>
      <c r="O293" s="48">
        <f>IF(M293="","⏳ PENDENTE",IF(M293&gt;=G293,"✅ PAGO","⚠️ PARCIAL"))</f>
        <v/>
      </c>
    </row>
    <row r="294" ht="19" customHeight="1">
      <c r="A294" s="5" t="n"/>
      <c r="B294" s="36" t="n">
        <v>281</v>
      </c>
      <c r="C294" s="37">
        <f>IFERROR(TEXT(EDATE(DATE(VALUE(RIGHT(D5,4)),MATCH(LEFT(D5,3),{"Jan","Fev","Mar","Abr","Mai","Jun","Jul","Ago","Set","Out","Nov","Dez"},0),1),280),"mmm/yyyy")</f>
        <v/>
      </c>
      <c r="D294" s="38">
        <f>IFERROR(EDATE(DATE(VALUE(RIGHT(D5,4)),MATCH(LEFT(D5,3),{"Jan","Fev","Mar","Abr","Mai","Jun","Jul","Ago","Set","Out","Nov","Dez"},0),5),280),"—")</f>
        <v/>
      </c>
      <c r="E294" s="39">
        <f>$H$4</f>
        <v/>
      </c>
      <c r="F294" s="40">
        <f>IFERROR(F293-H293-J293,0)</f>
        <v/>
      </c>
      <c r="G294" s="41">
        <f>IF($H$4="PRICE",$L$4,IF($H$4="SAC",$L$5,0))</f>
        <v/>
      </c>
      <c r="H294" s="42">
        <f>IFERROR(IF($H$4="SAC",$D$4/$D$6,G294-I294-K294),0)</f>
        <v/>
      </c>
      <c r="I294" s="43">
        <f>IFERROR(F294*$D$7,0)</f>
        <v/>
      </c>
      <c r="J294" s="44" t="n"/>
      <c r="K294" s="45">
        <f>IFERROR($H$5,0)</f>
        <v/>
      </c>
      <c r="L294" s="46" t="n"/>
      <c r="M294" s="44" t="n"/>
      <c r="N294" s="47">
        <f>IFERROR(N293+M294,N293)</f>
        <v/>
      </c>
      <c r="O294" s="48">
        <f>IF(M294="","⏳ PENDENTE",IF(M294&gt;=G294,"✅ PAGO","⚠️ PARCIAL"))</f>
        <v/>
      </c>
    </row>
    <row r="295" ht="19" customHeight="1">
      <c r="A295" s="1" t="n"/>
      <c r="B295" s="49" t="n">
        <v>282</v>
      </c>
      <c r="C295" s="50">
        <f>IFERROR(TEXT(EDATE(DATE(VALUE(RIGHT(D5,4)),MATCH(LEFT(D5,3),{"Jan","Fev","Mar","Abr","Mai","Jun","Jul","Ago","Set","Out","Nov","Dez"},0),1),281),"mmm/yyyy")</f>
        <v/>
      </c>
      <c r="D295" s="51">
        <f>IFERROR(EDATE(DATE(VALUE(RIGHT(D5,4)),MATCH(LEFT(D5,3),{"Jan","Fev","Mar","Abr","Mai","Jun","Jul","Ago","Set","Out","Nov","Dez"},0),5),281),"—")</f>
        <v/>
      </c>
      <c r="E295" s="39">
        <f>$H$4</f>
        <v/>
      </c>
      <c r="F295" s="52">
        <f>IFERROR(F294-H294-J294,0)</f>
        <v/>
      </c>
      <c r="G295" s="53">
        <f>IF($H$4="PRICE",$L$4,IF($H$4="SAC",$L$5,0))</f>
        <v/>
      </c>
      <c r="H295" s="54">
        <f>IFERROR(IF($H$4="SAC",$D$4/$D$6,G295-I295-K295),0)</f>
        <v/>
      </c>
      <c r="I295" s="55">
        <f>IFERROR(F295*$D$7,0)</f>
        <v/>
      </c>
      <c r="J295" s="44" t="n"/>
      <c r="K295" s="56">
        <f>IFERROR($H$5,0)</f>
        <v/>
      </c>
      <c r="L295" s="46" t="n"/>
      <c r="M295" s="44" t="n"/>
      <c r="N295" s="47">
        <f>IFERROR(N294+M295,N294)</f>
        <v/>
      </c>
      <c r="O295" s="48">
        <f>IF(M295="","⏳ PENDENTE",IF(M295&gt;=G295,"✅ PAGO","⚠️ PARCIAL"))</f>
        <v/>
      </c>
    </row>
    <row r="296" ht="19" customHeight="1">
      <c r="A296" s="5" t="n"/>
      <c r="B296" s="36" t="n">
        <v>283</v>
      </c>
      <c r="C296" s="37">
        <f>IFERROR(TEXT(EDATE(DATE(VALUE(RIGHT(D5,4)),MATCH(LEFT(D5,3),{"Jan","Fev","Mar","Abr","Mai","Jun","Jul","Ago","Set","Out","Nov","Dez"},0),1),282),"mmm/yyyy")</f>
        <v/>
      </c>
      <c r="D296" s="38">
        <f>IFERROR(EDATE(DATE(VALUE(RIGHT(D5,4)),MATCH(LEFT(D5,3),{"Jan","Fev","Mar","Abr","Mai","Jun","Jul","Ago","Set","Out","Nov","Dez"},0),5),282),"—")</f>
        <v/>
      </c>
      <c r="E296" s="39">
        <f>$H$4</f>
        <v/>
      </c>
      <c r="F296" s="40">
        <f>IFERROR(F295-H295-J295,0)</f>
        <v/>
      </c>
      <c r="G296" s="41">
        <f>IF($H$4="PRICE",$L$4,IF($H$4="SAC",$L$5,0))</f>
        <v/>
      </c>
      <c r="H296" s="42">
        <f>IFERROR(IF($H$4="SAC",$D$4/$D$6,G296-I296-K296),0)</f>
        <v/>
      </c>
      <c r="I296" s="43">
        <f>IFERROR(F296*$D$7,0)</f>
        <v/>
      </c>
      <c r="J296" s="44" t="n"/>
      <c r="K296" s="45">
        <f>IFERROR($H$5,0)</f>
        <v/>
      </c>
      <c r="L296" s="46" t="n"/>
      <c r="M296" s="44" t="n"/>
      <c r="N296" s="47">
        <f>IFERROR(N295+M296,N295)</f>
        <v/>
      </c>
      <c r="O296" s="48">
        <f>IF(M296="","⏳ PENDENTE",IF(M296&gt;=G296,"✅ PAGO","⚠️ PARCIAL"))</f>
        <v/>
      </c>
    </row>
    <row r="297" ht="19" customHeight="1">
      <c r="A297" s="1" t="n"/>
      <c r="B297" s="49" t="n">
        <v>284</v>
      </c>
      <c r="C297" s="50">
        <f>IFERROR(TEXT(EDATE(DATE(VALUE(RIGHT(D5,4)),MATCH(LEFT(D5,3),{"Jan","Fev","Mar","Abr","Mai","Jun","Jul","Ago","Set","Out","Nov","Dez"},0),1),283),"mmm/yyyy")</f>
        <v/>
      </c>
      <c r="D297" s="51">
        <f>IFERROR(EDATE(DATE(VALUE(RIGHT(D5,4)),MATCH(LEFT(D5,3),{"Jan","Fev","Mar","Abr","Mai","Jun","Jul","Ago","Set","Out","Nov","Dez"},0),5),283),"—")</f>
        <v/>
      </c>
      <c r="E297" s="39">
        <f>$H$4</f>
        <v/>
      </c>
      <c r="F297" s="52">
        <f>IFERROR(F296-H296-J296,0)</f>
        <v/>
      </c>
      <c r="G297" s="53">
        <f>IF($H$4="PRICE",$L$4,IF($H$4="SAC",$L$5,0))</f>
        <v/>
      </c>
      <c r="H297" s="54">
        <f>IFERROR(IF($H$4="SAC",$D$4/$D$6,G297-I297-K297),0)</f>
        <v/>
      </c>
      <c r="I297" s="55">
        <f>IFERROR(F297*$D$7,0)</f>
        <v/>
      </c>
      <c r="J297" s="44" t="n"/>
      <c r="K297" s="56">
        <f>IFERROR($H$5,0)</f>
        <v/>
      </c>
      <c r="L297" s="46" t="n"/>
      <c r="M297" s="44" t="n"/>
      <c r="N297" s="47">
        <f>IFERROR(N296+M297,N296)</f>
        <v/>
      </c>
      <c r="O297" s="48">
        <f>IF(M297="","⏳ PENDENTE",IF(M297&gt;=G297,"✅ PAGO","⚠️ PARCIAL"))</f>
        <v/>
      </c>
    </row>
    <row r="298" ht="19" customHeight="1">
      <c r="A298" s="5" t="n"/>
      <c r="B298" s="36" t="n">
        <v>285</v>
      </c>
      <c r="C298" s="37">
        <f>IFERROR(TEXT(EDATE(DATE(VALUE(RIGHT(D5,4)),MATCH(LEFT(D5,3),{"Jan","Fev","Mar","Abr","Mai","Jun","Jul","Ago","Set","Out","Nov","Dez"},0),1),284),"mmm/yyyy")</f>
        <v/>
      </c>
      <c r="D298" s="38">
        <f>IFERROR(EDATE(DATE(VALUE(RIGHT(D5,4)),MATCH(LEFT(D5,3),{"Jan","Fev","Mar","Abr","Mai","Jun","Jul","Ago","Set","Out","Nov","Dez"},0),5),284),"—")</f>
        <v/>
      </c>
      <c r="E298" s="39">
        <f>$H$4</f>
        <v/>
      </c>
      <c r="F298" s="40">
        <f>IFERROR(F297-H297-J297,0)</f>
        <v/>
      </c>
      <c r="G298" s="41">
        <f>IF($H$4="PRICE",$L$4,IF($H$4="SAC",$L$5,0))</f>
        <v/>
      </c>
      <c r="H298" s="42">
        <f>IFERROR(IF($H$4="SAC",$D$4/$D$6,G298-I298-K298),0)</f>
        <v/>
      </c>
      <c r="I298" s="43">
        <f>IFERROR(F298*$D$7,0)</f>
        <v/>
      </c>
      <c r="J298" s="44" t="n"/>
      <c r="K298" s="45">
        <f>IFERROR($H$5,0)</f>
        <v/>
      </c>
      <c r="L298" s="46" t="n"/>
      <c r="M298" s="44" t="n"/>
      <c r="N298" s="47">
        <f>IFERROR(N297+M298,N297)</f>
        <v/>
      </c>
      <c r="O298" s="48">
        <f>IF(M298="","⏳ PENDENTE",IF(M298&gt;=G298,"✅ PAGO","⚠️ PARCIAL"))</f>
        <v/>
      </c>
    </row>
    <row r="299" ht="19" customHeight="1">
      <c r="A299" s="1" t="n"/>
      <c r="B299" s="49" t="n">
        <v>286</v>
      </c>
      <c r="C299" s="50">
        <f>IFERROR(TEXT(EDATE(DATE(VALUE(RIGHT(D5,4)),MATCH(LEFT(D5,3),{"Jan","Fev","Mar","Abr","Mai","Jun","Jul","Ago","Set","Out","Nov","Dez"},0),1),285),"mmm/yyyy")</f>
        <v/>
      </c>
      <c r="D299" s="51">
        <f>IFERROR(EDATE(DATE(VALUE(RIGHT(D5,4)),MATCH(LEFT(D5,3),{"Jan","Fev","Mar","Abr","Mai","Jun","Jul","Ago","Set","Out","Nov","Dez"},0),5),285),"—")</f>
        <v/>
      </c>
      <c r="E299" s="39">
        <f>$H$4</f>
        <v/>
      </c>
      <c r="F299" s="52">
        <f>IFERROR(F298-H298-J298,0)</f>
        <v/>
      </c>
      <c r="G299" s="53">
        <f>IF($H$4="PRICE",$L$4,IF($H$4="SAC",$L$5,0))</f>
        <v/>
      </c>
      <c r="H299" s="54">
        <f>IFERROR(IF($H$4="SAC",$D$4/$D$6,G299-I299-K299),0)</f>
        <v/>
      </c>
      <c r="I299" s="55">
        <f>IFERROR(F299*$D$7,0)</f>
        <v/>
      </c>
      <c r="J299" s="44" t="n"/>
      <c r="K299" s="56">
        <f>IFERROR($H$5,0)</f>
        <v/>
      </c>
      <c r="L299" s="46" t="n"/>
      <c r="M299" s="44" t="n"/>
      <c r="N299" s="47">
        <f>IFERROR(N298+M299,N298)</f>
        <v/>
      </c>
      <c r="O299" s="48">
        <f>IF(M299="","⏳ PENDENTE",IF(M299&gt;=G299,"✅ PAGO","⚠️ PARCIAL"))</f>
        <v/>
      </c>
    </row>
    <row r="300" ht="19" customHeight="1">
      <c r="A300" s="5" t="n"/>
      <c r="B300" s="36" t="n">
        <v>287</v>
      </c>
      <c r="C300" s="37">
        <f>IFERROR(TEXT(EDATE(DATE(VALUE(RIGHT(D5,4)),MATCH(LEFT(D5,3),{"Jan","Fev","Mar","Abr","Mai","Jun","Jul","Ago","Set","Out","Nov","Dez"},0),1),286),"mmm/yyyy")</f>
        <v/>
      </c>
      <c r="D300" s="38">
        <f>IFERROR(EDATE(DATE(VALUE(RIGHT(D5,4)),MATCH(LEFT(D5,3),{"Jan","Fev","Mar","Abr","Mai","Jun","Jul","Ago","Set","Out","Nov","Dez"},0),5),286),"—")</f>
        <v/>
      </c>
      <c r="E300" s="39">
        <f>$H$4</f>
        <v/>
      </c>
      <c r="F300" s="40">
        <f>IFERROR(F299-H299-J299,0)</f>
        <v/>
      </c>
      <c r="G300" s="41">
        <f>IF($H$4="PRICE",$L$4,IF($H$4="SAC",$L$5,0))</f>
        <v/>
      </c>
      <c r="H300" s="42">
        <f>IFERROR(IF($H$4="SAC",$D$4/$D$6,G300-I300-K300),0)</f>
        <v/>
      </c>
      <c r="I300" s="43">
        <f>IFERROR(F300*$D$7,0)</f>
        <v/>
      </c>
      <c r="J300" s="44" t="n"/>
      <c r="K300" s="45">
        <f>IFERROR($H$5,0)</f>
        <v/>
      </c>
      <c r="L300" s="46" t="n"/>
      <c r="M300" s="44" t="n"/>
      <c r="N300" s="47">
        <f>IFERROR(N299+M300,N299)</f>
        <v/>
      </c>
      <c r="O300" s="48">
        <f>IF(M300="","⏳ PENDENTE",IF(M300&gt;=G300,"✅ PAGO","⚠️ PARCIAL"))</f>
        <v/>
      </c>
    </row>
    <row r="301" ht="19" customHeight="1">
      <c r="A301" s="1" t="n"/>
      <c r="B301" s="49" t="n">
        <v>288</v>
      </c>
      <c r="C301" s="50">
        <f>IFERROR(TEXT(EDATE(DATE(VALUE(RIGHT(D5,4)),MATCH(LEFT(D5,3),{"Jan","Fev","Mar","Abr","Mai","Jun","Jul","Ago","Set","Out","Nov","Dez"},0),1),287),"mmm/yyyy")</f>
        <v/>
      </c>
      <c r="D301" s="51">
        <f>IFERROR(EDATE(DATE(VALUE(RIGHT(D5,4)),MATCH(LEFT(D5,3),{"Jan","Fev","Mar","Abr","Mai","Jun","Jul","Ago","Set","Out","Nov","Dez"},0),5),287),"—")</f>
        <v/>
      </c>
      <c r="E301" s="39">
        <f>$H$4</f>
        <v/>
      </c>
      <c r="F301" s="52">
        <f>IFERROR(F300-H300-J300,0)</f>
        <v/>
      </c>
      <c r="G301" s="53">
        <f>IF($H$4="PRICE",$L$4,IF($H$4="SAC",$L$5,0))</f>
        <v/>
      </c>
      <c r="H301" s="54">
        <f>IFERROR(IF($H$4="SAC",$D$4/$D$6,G301-I301-K301),0)</f>
        <v/>
      </c>
      <c r="I301" s="55">
        <f>IFERROR(F301*$D$7,0)</f>
        <v/>
      </c>
      <c r="J301" s="44" t="n"/>
      <c r="K301" s="56">
        <f>IFERROR($H$5,0)</f>
        <v/>
      </c>
      <c r="L301" s="46" t="n"/>
      <c r="M301" s="44" t="n"/>
      <c r="N301" s="47">
        <f>IFERROR(N300+M301,N300)</f>
        <v/>
      </c>
      <c r="O301" s="48">
        <f>IF(M301="","⏳ PENDENTE",IF(M301&gt;=G301,"✅ PAGO","⚠️ PARCIAL"))</f>
        <v/>
      </c>
    </row>
    <row r="302" ht="19" customHeight="1">
      <c r="A302" s="5" t="n"/>
      <c r="B302" s="36" t="n">
        <v>289</v>
      </c>
      <c r="C302" s="37">
        <f>IFERROR(TEXT(EDATE(DATE(VALUE(RIGHT(D5,4)),MATCH(LEFT(D5,3),{"Jan","Fev","Mar","Abr","Mai","Jun","Jul","Ago","Set","Out","Nov","Dez"},0),1),288),"mmm/yyyy")</f>
        <v/>
      </c>
      <c r="D302" s="38">
        <f>IFERROR(EDATE(DATE(VALUE(RIGHT(D5,4)),MATCH(LEFT(D5,3),{"Jan","Fev","Mar","Abr","Mai","Jun","Jul","Ago","Set","Out","Nov","Dez"},0),5),288),"—")</f>
        <v/>
      </c>
      <c r="E302" s="39">
        <f>$H$4</f>
        <v/>
      </c>
      <c r="F302" s="40">
        <f>IFERROR(F301-H301-J301,0)</f>
        <v/>
      </c>
      <c r="G302" s="41">
        <f>IF($H$4="PRICE",$L$4,IF($H$4="SAC",$L$5,0))</f>
        <v/>
      </c>
      <c r="H302" s="42">
        <f>IFERROR(IF($H$4="SAC",$D$4/$D$6,G302-I302-K302),0)</f>
        <v/>
      </c>
      <c r="I302" s="43">
        <f>IFERROR(F302*$D$7,0)</f>
        <v/>
      </c>
      <c r="J302" s="44" t="n"/>
      <c r="K302" s="45">
        <f>IFERROR($H$5,0)</f>
        <v/>
      </c>
      <c r="L302" s="46" t="n"/>
      <c r="M302" s="44" t="n"/>
      <c r="N302" s="47">
        <f>IFERROR(N301+M302,N301)</f>
        <v/>
      </c>
      <c r="O302" s="48">
        <f>IF(M302="","⏳ PENDENTE",IF(M302&gt;=G302,"✅ PAGO","⚠️ PARCIAL"))</f>
        <v/>
      </c>
    </row>
    <row r="303" ht="19" customHeight="1">
      <c r="A303" s="1" t="n"/>
      <c r="B303" s="49" t="n">
        <v>290</v>
      </c>
      <c r="C303" s="50">
        <f>IFERROR(TEXT(EDATE(DATE(VALUE(RIGHT(D5,4)),MATCH(LEFT(D5,3),{"Jan","Fev","Mar","Abr","Mai","Jun","Jul","Ago","Set","Out","Nov","Dez"},0),1),289),"mmm/yyyy")</f>
        <v/>
      </c>
      <c r="D303" s="51">
        <f>IFERROR(EDATE(DATE(VALUE(RIGHT(D5,4)),MATCH(LEFT(D5,3),{"Jan","Fev","Mar","Abr","Mai","Jun","Jul","Ago","Set","Out","Nov","Dez"},0),5),289),"—")</f>
        <v/>
      </c>
      <c r="E303" s="39">
        <f>$H$4</f>
        <v/>
      </c>
      <c r="F303" s="52">
        <f>IFERROR(F302-H302-J302,0)</f>
        <v/>
      </c>
      <c r="G303" s="53">
        <f>IF($H$4="PRICE",$L$4,IF($H$4="SAC",$L$5,0))</f>
        <v/>
      </c>
      <c r="H303" s="54">
        <f>IFERROR(IF($H$4="SAC",$D$4/$D$6,G303-I303-K303),0)</f>
        <v/>
      </c>
      <c r="I303" s="55">
        <f>IFERROR(F303*$D$7,0)</f>
        <v/>
      </c>
      <c r="J303" s="44" t="n"/>
      <c r="K303" s="56">
        <f>IFERROR($H$5,0)</f>
        <v/>
      </c>
      <c r="L303" s="46" t="n"/>
      <c r="M303" s="44" t="n"/>
      <c r="N303" s="47">
        <f>IFERROR(N302+M303,N302)</f>
        <v/>
      </c>
      <c r="O303" s="48">
        <f>IF(M303="","⏳ PENDENTE",IF(M303&gt;=G303,"✅ PAGO","⚠️ PARCIAL"))</f>
        <v/>
      </c>
    </row>
    <row r="304" ht="19" customHeight="1">
      <c r="A304" s="5" t="n"/>
      <c r="B304" s="36" t="n">
        <v>291</v>
      </c>
      <c r="C304" s="37">
        <f>IFERROR(TEXT(EDATE(DATE(VALUE(RIGHT(D5,4)),MATCH(LEFT(D5,3),{"Jan","Fev","Mar","Abr","Mai","Jun","Jul","Ago","Set","Out","Nov","Dez"},0),1),290),"mmm/yyyy")</f>
        <v/>
      </c>
      <c r="D304" s="38">
        <f>IFERROR(EDATE(DATE(VALUE(RIGHT(D5,4)),MATCH(LEFT(D5,3),{"Jan","Fev","Mar","Abr","Mai","Jun","Jul","Ago","Set","Out","Nov","Dez"},0),5),290),"—")</f>
        <v/>
      </c>
      <c r="E304" s="39">
        <f>$H$4</f>
        <v/>
      </c>
      <c r="F304" s="40">
        <f>IFERROR(F303-H303-J303,0)</f>
        <v/>
      </c>
      <c r="G304" s="41">
        <f>IF($H$4="PRICE",$L$4,IF($H$4="SAC",$L$5,0))</f>
        <v/>
      </c>
      <c r="H304" s="42">
        <f>IFERROR(IF($H$4="SAC",$D$4/$D$6,G304-I304-K304),0)</f>
        <v/>
      </c>
      <c r="I304" s="43">
        <f>IFERROR(F304*$D$7,0)</f>
        <v/>
      </c>
      <c r="J304" s="44" t="n"/>
      <c r="K304" s="45">
        <f>IFERROR($H$5,0)</f>
        <v/>
      </c>
      <c r="L304" s="46" t="n"/>
      <c r="M304" s="44" t="n"/>
      <c r="N304" s="47">
        <f>IFERROR(N303+M304,N303)</f>
        <v/>
      </c>
      <c r="O304" s="48">
        <f>IF(M304="","⏳ PENDENTE",IF(M304&gt;=G304,"✅ PAGO","⚠️ PARCIAL"))</f>
        <v/>
      </c>
    </row>
    <row r="305" ht="19" customHeight="1">
      <c r="A305" s="1" t="n"/>
      <c r="B305" s="49" t="n">
        <v>292</v>
      </c>
      <c r="C305" s="50">
        <f>IFERROR(TEXT(EDATE(DATE(VALUE(RIGHT(D5,4)),MATCH(LEFT(D5,3),{"Jan","Fev","Mar","Abr","Mai","Jun","Jul","Ago","Set","Out","Nov","Dez"},0),1),291),"mmm/yyyy")</f>
        <v/>
      </c>
      <c r="D305" s="51">
        <f>IFERROR(EDATE(DATE(VALUE(RIGHT(D5,4)),MATCH(LEFT(D5,3),{"Jan","Fev","Mar","Abr","Mai","Jun","Jul","Ago","Set","Out","Nov","Dez"},0),5),291),"—")</f>
        <v/>
      </c>
      <c r="E305" s="39">
        <f>$H$4</f>
        <v/>
      </c>
      <c r="F305" s="52">
        <f>IFERROR(F304-H304-J304,0)</f>
        <v/>
      </c>
      <c r="G305" s="53">
        <f>IF($H$4="PRICE",$L$4,IF($H$4="SAC",$L$5,0))</f>
        <v/>
      </c>
      <c r="H305" s="54">
        <f>IFERROR(IF($H$4="SAC",$D$4/$D$6,G305-I305-K305),0)</f>
        <v/>
      </c>
      <c r="I305" s="55">
        <f>IFERROR(F305*$D$7,0)</f>
        <v/>
      </c>
      <c r="J305" s="44" t="n"/>
      <c r="K305" s="56">
        <f>IFERROR($H$5,0)</f>
        <v/>
      </c>
      <c r="L305" s="46" t="n"/>
      <c r="M305" s="44" t="n"/>
      <c r="N305" s="47">
        <f>IFERROR(N304+M305,N304)</f>
        <v/>
      </c>
      <c r="O305" s="48">
        <f>IF(M305="","⏳ PENDENTE",IF(M305&gt;=G305,"✅ PAGO","⚠️ PARCIAL"))</f>
        <v/>
      </c>
    </row>
    <row r="306" ht="19" customHeight="1">
      <c r="A306" s="5" t="n"/>
      <c r="B306" s="36" t="n">
        <v>293</v>
      </c>
      <c r="C306" s="37">
        <f>IFERROR(TEXT(EDATE(DATE(VALUE(RIGHT(D5,4)),MATCH(LEFT(D5,3),{"Jan","Fev","Mar","Abr","Mai","Jun","Jul","Ago","Set","Out","Nov","Dez"},0),1),292),"mmm/yyyy")</f>
        <v/>
      </c>
      <c r="D306" s="38">
        <f>IFERROR(EDATE(DATE(VALUE(RIGHT(D5,4)),MATCH(LEFT(D5,3),{"Jan","Fev","Mar","Abr","Mai","Jun","Jul","Ago","Set","Out","Nov","Dez"},0),5),292),"—")</f>
        <v/>
      </c>
      <c r="E306" s="39">
        <f>$H$4</f>
        <v/>
      </c>
      <c r="F306" s="40">
        <f>IFERROR(F305-H305-J305,0)</f>
        <v/>
      </c>
      <c r="G306" s="41">
        <f>IF($H$4="PRICE",$L$4,IF($H$4="SAC",$L$5,0))</f>
        <v/>
      </c>
      <c r="H306" s="42">
        <f>IFERROR(IF($H$4="SAC",$D$4/$D$6,G306-I306-K306),0)</f>
        <v/>
      </c>
      <c r="I306" s="43">
        <f>IFERROR(F306*$D$7,0)</f>
        <v/>
      </c>
      <c r="J306" s="44" t="n"/>
      <c r="K306" s="45">
        <f>IFERROR($H$5,0)</f>
        <v/>
      </c>
      <c r="L306" s="46" t="n"/>
      <c r="M306" s="44" t="n"/>
      <c r="N306" s="47">
        <f>IFERROR(N305+M306,N305)</f>
        <v/>
      </c>
      <c r="O306" s="48">
        <f>IF(M306="","⏳ PENDENTE",IF(M306&gt;=G306,"✅ PAGO","⚠️ PARCIAL"))</f>
        <v/>
      </c>
    </row>
    <row r="307" ht="19" customHeight="1">
      <c r="A307" s="1" t="n"/>
      <c r="B307" s="49" t="n">
        <v>294</v>
      </c>
      <c r="C307" s="50">
        <f>IFERROR(TEXT(EDATE(DATE(VALUE(RIGHT(D5,4)),MATCH(LEFT(D5,3),{"Jan","Fev","Mar","Abr","Mai","Jun","Jul","Ago","Set","Out","Nov","Dez"},0),1),293),"mmm/yyyy")</f>
        <v/>
      </c>
      <c r="D307" s="51">
        <f>IFERROR(EDATE(DATE(VALUE(RIGHT(D5,4)),MATCH(LEFT(D5,3),{"Jan","Fev","Mar","Abr","Mai","Jun","Jul","Ago","Set","Out","Nov","Dez"},0),5),293),"—")</f>
        <v/>
      </c>
      <c r="E307" s="39">
        <f>$H$4</f>
        <v/>
      </c>
      <c r="F307" s="52">
        <f>IFERROR(F306-H306-J306,0)</f>
        <v/>
      </c>
      <c r="G307" s="53">
        <f>IF($H$4="PRICE",$L$4,IF($H$4="SAC",$L$5,0))</f>
        <v/>
      </c>
      <c r="H307" s="54">
        <f>IFERROR(IF($H$4="SAC",$D$4/$D$6,G307-I307-K307),0)</f>
        <v/>
      </c>
      <c r="I307" s="55">
        <f>IFERROR(F307*$D$7,0)</f>
        <v/>
      </c>
      <c r="J307" s="44" t="n"/>
      <c r="K307" s="56">
        <f>IFERROR($H$5,0)</f>
        <v/>
      </c>
      <c r="L307" s="46" t="n"/>
      <c r="M307" s="44" t="n"/>
      <c r="N307" s="47">
        <f>IFERROR(N306+M307,N306)</f>
        <v/>
      </c>
      <c r="O307" s="48">
        <f>IF(M307="","⏳ PENDENTE",IF(M307&gt;=G307,"✅ PAGO","⚠️ PARCIAL"))</f>
        <v/>
      </c>
    </row>
    <row r="308" ht="19" customHeight="1">
      <c r="A308" s="5" t="n"/>
      <c r="B308" s="36" t="n">
        <v>295</v>
      </c>
      <c r="C308" s="37">
        <f>IFERROR(TEXT(EDATE(DATE(VALUE(RIGHT(D5,4)),MATCH(LEFT(D5,3),{"Jan","Fev","Mar","Abr","Mai","Jun","Jul","Ago","Set","Out","Nov","Dez"},0),1),294),"mmm/yyyy")</f>
        <v/>
      </c>
      <c r="D308" s="38">
        <f>IFERROR(EDATE(DATE(VALUE(RIGHT(D5,4)),MATCH(LEFT(D5,3),{"Jan","Fev","Mar","Abr","Mai","Jun","Jul","Ago","Set","Out","Nov","Dez"},0),5),294),"—")</f>
        <v/>
      </c>
      <c r="E308" s="39">
        <f>$H$4</f>
        <v/>
      </c>
      <c r="F308" s="40">
        <f>IFERROR(F307-H307-J307,0)</f>
        <v/>
      </c>
      <c r="G308" s="41">
        <f>IF($H$4="PRICE",$L$4,IF($H$4="SAC",$L$5,0))</f>
        <v/>
      </c>
      <c r="H308" s="42">
        <f>IFERROR(IF($H$4="SAC",$D$4/$D$6,G308-I308-K308),0)</f>
        <v/>
      </c>
      <c r="I308" s="43">
        <f>IFERROR(F308*$D$7,0)</f>
        <v/>
      </c>
      <c r="J308" s="44" t="n"/>
      <c r="K308" s="45">
        <f>IFERROR($H$5,0)</f>
        <v/>
      </c>
      <c r="L308" s="46" t="n"/>
      <c r="M308" s="44" t="n"/>
      <c r="N308" s="47">
        <f>IFERROR(N307+M308,N307)</f>
        <v/>
      </c>
      <c r="O308" s="48">
        <f>IF(M308="","⏳ PENDENTE",IF(M308&gt;=G308,"✅ PAGO","⚠️ PARCIAL"))</f>
        <v/>
      </c>
    </row>
    <row r="309" ht="19" customHeight="1">
      <c r="A309" s="1" t="n"/>
      <c r="B309" s="49" t="n">
        <v>296</v>
      </c>
      <c r="C309" s="50">
        <f>IFERROR(TEXT(EDATE(DATE(VALUE(RIGHT(D5,4)),MATCH(LEFT(D5,3),{"Jan","Fev","Mar","Abr","Mai","Jun","Jul","Ago","Set","Out","Nov","Dez"},0),1),295),"mmm/yyyy")</f>
        <v/>
      </c>
      <c r="D309" s="51">
        <f>IFERROR(EDATE(DATE(VALUE(RIGHT(D5,4)),MATCH(LEFT(D5,3),{"Jan","Fev","Mar","Abr","Mai","Jun","Jul","Ago","Set","Out","Nov","Dez"},0),5),295),"—")</f>
        <v/>
      </c>
      <c r="E309" s="39">
        <f>$H$4</f>
        <v/>
      </c>
      <c r="F309" s="52">
        <f>IFERROR(F308-H308-J308,0)</f>
        <v/>
      </c>
      <c r="G309" s="53">
        <f>IF($H$4="PRICE",$L$4,IF($H$4="SAC",$L$5,0))</f>
        <v/>
      </c>
      <c r="H309" s="54">
        <f>IFERROR(IF($H$4="SAC",$D$4/$D$6,G309-I309-K309),0)</f>
        <v/>
      </c>
      <c r="I309" s="55">
        <f>IFERROR(F309*$D$7,0)</f>
        <v/>
      </c>
      <c r="J309" s="44" t="n"/>
      <c r="K309" s="56">
        <f>IFERROR($H$5,0)</f>
        <v/>
      </c>
      <c r="L309" s="46" t="n"/>
      <c r="M309" s="44" t="n"/>
      <c r="N309" s="47">
        <f>IFERROR(N308+M309,N308)</f>
        <v/>
      </c>
      <c r="O309" s="48">
        <f>IF(M309="","⏳ PENDENTE",IF(M309&gt;=G309,"✅ PAGO","⚠️ PARCIAL"))</f>
        <v/>
      </c>
    </row>
    <row r="310" ht="19" customHeight="1">
      <c r="A310" s="5" t="n"/>
      <c r="B310" s="36" t="n">
        <v>297</v>
      </c>
      <c r="C310" s="37">
        <f>IFERROR(TEXT(EDATE(DATE(VALUE(RIGHT(D5,4)),MATCH(LEFT(D5,3),{"Jan","Fev","Mar","Abr","Mai","Jun","Jul","Ago","Set","Out","Nov","Dez"},0),1),296),"mmm/yyyy")</f>
        <v/>
      </c>
      <c r="D310" s="38">
        <f>IFERROR(EDATE(DATE(VALUE(RIGHT(D5,4)),MATCH(LEFT(D5,3),{"Jan","Fev","Mar","Abr","Mai","Jun","Jul","Ago","Set","Out","Nov","Dez"},0),5),296),"—")</f>
        <v/>
      </c>
      <c r="E310" s="39">
        <f>$H$4</f>
        <v/>
      </c>
      <c r="F310" s="40">
        <f>IFERROR(F309-H309-J309,0)</f>
        <v/>
      </c>
      <c r="G310" s="41">
        <f>IF($H$4="PRICE",$L$4,IF($H$4="SAC",$L$5,0))</f>
        <v/>
      </c>
      <c r="H310" s="42">
        <f>IFERROR(IF($H$4="SAC",$D$4/$D$6,G310-I310-K310),0)</f>
        <v/>
      </c>
      <c r="I310" s="43">
        <f>IFERROR(F310*$D$7,0)</f>
        <v/>
      </c>
      <c r="J310" s="44" t="n"/>
      <c r="K310" s="45">
        <f>IFERROR($H$5,0)</f>
        <v/>
      </c>
      <c r="L310" s="46" t="n"/>
      <c r="M310" s="44" t="n"/>
      <c r="N310" s="47">
        <f>IFERROR(N309+M310,N309)</f>
        <v/>
      </c>
      <c r="O310" s="48">
        <f>IF(M310="","⏳ PENDENTE",IF(M310&gt;=G310,"✅ PAGO","⚠️ PARCIAL"))</f>
        <v/>
      </c>
    </row>
    <row r="311" ht="19" customHeight="1">
      <c r="A311" s="1" t="n"/>
      <c r="B311" s="49" t="n">
        <v>298</v>
      </c>
      <c r="C311" s="50">
        <f>IFERROR(TEXT(EDATE(DATE(VALUE(RIGHT(D5,4)),MATCH(LEFT(D5,3),{"Jan","Fev","Mar","Abr","Mai","Jun","Jul","Ago","Set","Out","Nov","Dez"},0),1),297),"mmm/yyyy")</f>
        <v/>
      </c>
      <c r="D311" s="51">
        <f>IFERROR(EDATE(DATE(VALUE(RIGHT(D5,4)),MATCH(LEFT(D5,3),{"Jan","Fev","Mar","Abr","Mai","Jun","Jul","Ago","Set","Out","Nov","Dez"},0),5),297),"—")</f>
        <v/>
      </c>
      <c r="E311" s="39">
        <f>$H$4</f>
        <v/>
      </c>
      <c r="F311" s="52">
        <f>IFERROR(F310-H310-J310,0)</f>
        <v/>
      </c>
      <c r="G311" s="53">
        <f>IF($H$4="PRICE",$L$4,IF($H$4="SAC",$L$5,0))</f>
        <v/>
      </c>
      <c r="H311" s="54">
        <f>IFERROR(IF($H$4="SAC",$D$4/$D$6,G311-I311-K311),0)</f>
        <v/>
      </c>
      <c r="I311" s="55">
        <f>IFERROR(F311*$D$7,0)</f>
        <v/>
      </c>
      <c r="J311" s="44" t="n"/>
      <c r="K311" s="56">
        <f>IFERROR($H$5,0)</f>
        <v/>
      </c>
      <c r="L311" s="46" t="n"/>
      <c r="M311" s="44" t="n"/>
      <c r="N311" s="47">
        <f>IFERROR(N310+M311,N310)</f>
        <v/>
      </c>
      <c r="O311" s="48">
        <f>IF(M311="","⏳ PENDENTE",IF(M311&gt;=G311,"✅ PAGO","⚠️ PARCIAL"))</f>
        <v/>
      </c>
    </row>
    <row r="312" ht="19" customHeight="1">
      <c r="A312" s="5" t="n"/>
      <c r="B312" s="36" t="n">
        <v>299</v>
      </c>
      <c r="C312" s="37">
        <f>IFERROR(TEXT(EDATE(DATE(VALUE(RIGHT(D5,4)),MATCH(LEFT(D5,3),{"Jan","Fev","Mar","Abr","Mai","Jun","Jul","Ago","Set","Out","Nov","Dez"},0),1),298),"mmm/yyyy")</f>
        <v/>
      </c>
      <c r="D312" s="38">
        <f>IFERROR(EDATE(DATE(VALUE(RIGHT(D5,4)),MATCH(LEFT(D5,3),{"Jan","Fev","Mar","Abr","Mai","Jun","Jul","Ago","Set","Out","Nov","Dez"},0),5),298),"—")</f>
        <v/>
      </c>
      <c r="E312" s="39">
        <f>$H$4</f>
        <v/>
      </c>
      <c r="F312" s="40">
        <f>IFERROR(F311-H311-J311,0)</f>
        <v/>
      </c>
      <c r="G312" s="41">
        <f>IF($H$4="PRICE",$L$4,IF($H$4="SAC",$L$5,0))</f>
        <v/>
      </c>
      <c r="H312" s="42">
        <f>IFERROR(IF($H$4="SAC",$D$4/$D$6,G312-I312-K312),0)</f>
        <v/>
      </c>
      <c r="I312" s="43">
        <f>IFERROR(F312*$D$7,0)</f>
        <v/>
      </c>
      <c r="J312" s="44" t="n"/>
      <c r="K312" s="45">
        <f>IFERROR($H$5,0)</f>
        <v/>
      </c>
      <c r="L312" s="46" t="n"/>
      <c r="M312" s="44" t="n"/>
      <c r="N312" s="47">
        <f>IFERROR(N311+M312,N311)</f>
        <v/>
      </c>
      <c r="O312" s="48">
        <f>IF(M312="","⏳ PENDENTE",IF(M312&gt;=G312,"✅ PAGO","⚠️ PARCIAL"))</f>
        <v/>
      </c>
    </row>
    <row r="313" ht="19" customHeight="1">
      <c r="A313" s="1" t="n"/>
      <c r="B313" s="49" t="n">
        <v>300</v>
      </c>
      <c r="C313" s="50">
        <f>IFERROR(TEXT(EDATE(DATE(VALUE(RIGHT(D5,4)),MATCH(LEFT(D5,3),{"Jan","Fev","Mar","Abr","Mai","Jun","Jul","Ago","Set","Out","Nov","Dez"},0),1),299),"mmm/yyyy")</f>
        <v/>
      </c>
      <c r="D313" s="51">
        <f>IFERROR(EDATE(DATE(VALUE(RIGHT(D5,4)),MATCH(LEFT(D5,3),{"Jan","Fev","Mar","Abr","Mai","Jun","Jul","Ago","Set","Out","Nov","Dez"},0),5),299),"—")</f>
        <v/>
      </c>
      <c r="E313" s="39">
        <f>$H$4</f>
        <v/>
      </c>
      <c r="F313" s="52">
        <f>IFERROR(F312-H312-J312,0)</f>
        <v/>
      </c>
      <c r="G313" s="53">
        <f>IF($H$4="PRICE",$L$4,IF($H$4="SAC",$L$5,0))</f>
        <v/>
      </c>
      <c r="H313" s="54">
        <f>IFERROR(IF($H$4="SAC",$D$4/$D$6,G313-I313-K313),0)</f>
        <v/>
      </c>
      <c r="I313" s="55">
        <f>IFERROR(F313*$D$7,0)</f>
        <v/>
      </c>
      <c r="J313" s="44" t="n"/>
      <c r="K313" s="56">
        <f>IFERROR($H$5,0)</f>
        <v/>
      </c>
      <c r="L313" s="46" t="n"/>
      <c r="M313" s="44" t="n"/>
      <c r="N313" s="47">
        <f>IFERROR(N312+M313,N312)</f>
        <v/>
      </c>
      <c r="O313" s="48">
        <f>IF(M313="","⏳ PENDENTE",IF(M313&gt;=G313,"✅ PAGO","⚠️ PARCIAL"))</f>
        <v/>
      </c>
    </row>
    <row r="314" ht="19" customHeight="1">
      <c r="A314" s="5" t="n"/>
      <c r="B314" s="36" t="n">
        <v>301</v>
      </c>
      <c r="C314" s="37">
        <f>IFERROR(TEXT(EDATE(DATE(VALUE(RIGHT(D5,4)),MATCH(LEFT(D5,3),{"Jan","Fev","Mar","Abr","Mai","Jun","Jul","Ago","Set","Out","Nov","Dez"},0),1),300),"mmm/yyyy")</f>
        <v/>
      </c>
      <c r="D314" s="38">
        <f>IFERROR(EDATE(DATE(VALUE(RIGHT(D5,4)),MATCH(LEFT(D5,3),{"Jan","Fev","Mar","Abr","Mai","Jun","Jul","Ago","Set","Out","Nov","Dez"},0),5),300),"—")</f>
        <v/>
      </c>
      <c r="E314" s="39">
        <f>$H$4</f>
        <v/>
      </c>
      <c r="F314" s="40">
        <f>IFERROR(F313-H313-J313,0)</f>
        <v/>
      </c>
      <c r="G314" s="41">
        <f>IF($H$4="PRICE",$L$4,IF($H$4="SAC",$L$5,0))</f>
        <v/>
      </c>
      <c r="H314" s="42">
        <f>IFERROR(IF($H$4="SAC",$D$4/$D$6,G314-I314-K314),0)</f>
        <v/>
      </c>
      <c r="I314" s="43">
        <f>IFERROR(F314*$D$7,0)</f>
        <v/>
      </c>
      <c r="J314" s="44" t="n"/>
      <c r="K314" s="45">
        <f>IFERROR($H$5,0)</f>
        <v/>
      </c>
      <c r="L314" s="46" t="n"/>
      <c r="M314" s="44" t="n"/>
      <c r="N314" s="47">
        <f>IFERROR(N313+M314,N313)</f>
        <v/>
      </c>
      <c r="O314" s="48">
        <f>IF(M314="","⏳ PENDENTE",IF(M314&gt;=G314,"✅ PAGO","⚠️ PARCIAL"))</f>
        <v/>
      </c>
    </row>
    <row r="315" ht="19" customHeight="1">
      <c r="A315" s="1" t="n"/>
      <c r="B315" s="49" t="n">
        <v>302</v>
      </c>
      <c r="C315" s="50">
        <f>IFERROR(TEXT(EDATE(DATE(VALUE(RIGHT(D5,4)),MATCH(LEFT(D5,3),{"Jan","Fev","Mar","Abr","Mai","Jun","Jul","Ago","Set","Out","Nov","Dez"},0),1),301),"mmm/yyyy")</f>
        <v/>
      </c>
      <c r="D315" s="51">
        <f>IFERROR(EDATE(DATE(VALUE(RIGHT(D5,4)),MATCH(LEFT(D5,3),{"Jan","Fev","Mar","Abr","Mai","Jun","Jul","Ago","Set","Out","Nov","Dez"},0),5),301),"—")</f>
        <v/>
      </c>
      <c r="E315" s="39">
        <f>$H$4</f>
        <v/>
      </c>
      <c r="F315" s="52">
        <f>IFERROR(F314-H314-J314,0)</f>
        <v/>
      </c>
      <c r="G315" s="53">
        <f>IF($H$4="PRICE",$L$4,IF($H$4="SAC",$L$5,0))</f>
        <v/>
      </c>
      <c r="H315" s="54">
        <f>IFERROR(IF($H$4="SAC",$D$4/$D$6,G315-I315-K315),0)</f>
        <v/>
      </c>
      <c r="I315" s="55">
        <f>IFERROR(F315*$D$7,0)</f>
        <v/>
      </c>
      <c r="J315" s="44" t="n"/>
      <c r="K315" s="56">
        <f>IFERROR($H$5,0)</f>
        <v/>
      </c>
      <c r="L315" s="46" t="n"/>
      <c r="M315" s="44" t="n"/>
      <c r="N315" s="47">
        <f>IFERROR(N314+M315,N314)</f>
        <v/>
      </c>
      <c r="O315" s="48">
        <f>IF(M315="","⏳ PENDENTE",IF(M315&gt;=G315,"✅ PAGO","⚠️ PARCIAL"))</f>
        <v/>
      </c>
    </row>
    <row r="316" ht="19" customHeight="1">
      <c r="A316" s="5" t="n"/>
      <c r="B316" s="36" t="n">
        <v>303</v>
      </c>
      <c r="C316" s="37">
        <f>IFERROR(TEXT(EDATE(DATE(VALUE(RIGHT(D5,4)),MATCH(LEFT(D5,3),{"Jan","Fev","Mar","Abr","Mai","Jun","Jul","Ago","Set","Out","Nov","Dez"},0),1),302),"mmm/yyyy")</f>
        <v/>
      </c>
      <c r="D316" s="38">
        <f>IFERROR(EDATE(DATE(VALUE(RIGHT(D5,4)),MATCH(LEFT(D5,3),{"Jan","Fev","Mar","Abr","Mai","Jun","Jul","Ago","Set","Out","Nov","Dez"},0),5),302),"—")</f>
        <v/>
      </c>
      <c r="E316" s="39">
        <f>$H$4</f>
        <v/>
      </c>
      <c r="F316" s="40">
        <f>IFERROR(F315-H315-J315,0)</f>
        <v/>
      </c>
      <c r="G316" s="41">
        <f>IF($H$4="PRICE",$L$4,IF($H$4="SAC",$L$5,0))</f>
        <v/>
      </c>
      <c r="H316" s="42">
        <f>IFERROR(IF($H$4="SAC",$D$4/$D$6,G316-I316-K316),0)</f>
        <v/>
      </c>
      <c r="I316" s="43">
        <f>IFERROR(F316*$D$7,0)</f>
        <v/>
      </c>
      <c r="J316" s="44" t="n"/>
      <c r="K316" s="45">
        <f>IFERROR($H$5,0)</f>
        <v/>
      </c>
      <c r="L316" s="46" t="n"/>
      <c r="M316" s="44" t="n"/>
      <c r="N316" s="47">
        <f>IFERROR(N315+M316,N315)</f>
        <v/>
      </c>
      <c r="O316" s="48">
        <f>IF(M316="","⏳ PENDENTE",IF(M316&gt;=G316,"✅ PAGO","⚠️ PARCIAL"))</f>
        <v/>
      </c>
    </row>
    <row r="317" ht="19" customHeight="1">
      <c r="A317" s="1" t="n"/>
      <c r="B317" s="49" t="n">
        <v>304</v>
      </c>
      <c r="C317" s="50">
        <f>IFERROR(TEXT(EDATE(DATE(VALUE(RIGHT(D5,4)),MATCH(LEFT(D5,3),{"Jan","Fev","Mar","Abr","Mai","Jun","Jul","Ago","Set","Out","Nov","Dez"},0),1),303),"mmm/yyyy")</f>
        <v/>
      </c>
      <c r="D317" s="51">
        <f>IFERROR(EDATE(DATE(VALUE(RIGHT(D5,4)),MATCH(LEFT(D5,3),{"Jan","Fev","Mar","Abr","Mai","Jun","Jul","Ago","Set","Out","Nov","Dez"},0),5),303),"—")</f>
        <v/>
      </c>
      <c r="E317" s="39">
        <f>$H$4</f>
        <v/>
      </c>
      <c r="F317" s="52">
        <f>IFERROR(F316-H316-J316,0)</f>
        <v/>
      </c>
      <c r="G317" s="53">
        <f>IF($H$4="PRICE",$L$4,IF($H$4="SAC",$L$5,0))</f>
        <v/>
      </c>
      <c r="H317" s="54">
        <f>IFERROR(IF($H$4="SAC",$D$4/$D$6,G317-I317-K317),0)</f>
        <v/>
      </c>
      <c r="I317" s="55">
        <f>IFERROR(F317*$D$7,0)</f>
        <v/>
      </c>
      <c r="J317" s="44" t="n"/>
      <c r="K317" s="56">
        <f>IFERROR($H$5,0)</f>
        <v/>
      </c>
      <c r="L317" s="46" t="n"/>
      <c r="M317" s="44" t="n"/>
      <c r="N317" s="47">
        <f>IFERROR(N316+M317,N316)</f>
        <v/>
      </c>
      <c r="O317" s="48">
        <f>IF(M317="","⏳ PENDENTE",IF(M317&gt;=G317,"✅ PAGO","⚠️ PARCIAL"))</f>
        <v/>
      </c>
    </row>
    <row r="318" ht="19" customHeight="1">
      <c r="A318" s="5" t="n"/>
      <c r="B318" s="36" t="n">
        <v>305</v>
      </c>
      <c r="C318" s="37">
        <f>IFERROR(TEXT(EDATE(DATE(VALUE(RIGHT(D5,4)),MATCH(LEFT(D5,3),{"Jan","Fev","Mar","Abr","Mai","Jun","Jul","Ago","Set","Out","Nov","Dez"},0),1),304),"mmm/yyyy")</f>
        <v/>
      </c>
      <c r="D318" s="38">
        <f>IFERROR(EDATE(DATE(VALUE(RIGHT(D5,4)),MATCH(LEFT(D5,3),{"Jan","Fev","Mar","Abr","Mai","Jun","Jul","Ago","Set","Out","Nov","Dez"},0),5),304),"—")</f>
        <v/>
      </c>
      <c r="E318" s="39">
        <f>$H$4</f>
        <v/>
      </c>
      <c r="F318" s="40">
        <f>IFERROR(F317-H317-J317,0)</f>
        <v/>
      </c>
      <c r="G318" s="41">
        <f>IF($H$4="PRICE",$L$4,IF($H$4="SAC",$L$5,0))</f>
        <v/>
      </c>
      <c r="H318" s="42">
        <f>IFERROR(IF($H$4="SAC",$D$4/$D$6,G318-I318-K318),0)</f>
        <v/>
      </c>
      <c r="I318" s="43">
        <f>IFERROR(F318*$D$7,0)</f>
        <v/>
      </c>
      <c r="J318" s="44" t="n"/>
      <c r="K318" s="45">
        <f>IFERROR($H$5,0)</f>
        <v/>
      </c>
      <c r="L318" s="46" t="n"/>
      <c r="M318" s="44" t="n"/>
      <c r="N318" s="47">
        <f>IFERROR(N317+M318,N317)</f>
        <v/>
      </c>
      <c r="O318" s="48">
        <f>IF(M318="","⏳ PENDENTE",IF(M318&gt;=G318,"✅ PAGO","⚠️ PARCIAL"))</f>
        <v/>
      </c>
    </row>
    <row r="319" ht="19" customHeight="1">
      <c r="A319" s="1" t="n"/>
      <c r="B319" s="49" t="n">
        <v>306</v>
      </c>
      <c r="C319" s="50">
        <f>IFERROR(TEXT(EDATE(DATE(VALUE(RIGHT(D5,4)),MATCH(LEFT(D5,3),{"Jan","Fev","Mar","Abr","Mai","Jun","Jul","Ago","Set","Out","Nov","Dez"},0),1),305),"mmm/yyyy")</f>
        <v/>
      </c>
      <c r="D319" s="51">
        <f>IFERROR(EDATE(DATE(VALUE(RIGHT(D5,4)),MATCH(LEFT(D5,3),{"Jan","Fev","Mar","Abr","Mai","Jun","Jul","Ago","Set","Out","Nov","Dez"},0),5),305),"—")</f>
        <v/>
      </c>
      <c r="E319" s="39">
        <f>$H$4</f>
        <v/>
      </c>
      <c r="F319" s="52">
        <f>IFERROR(F318-H318-J318,0)</f>
        <v/>
      </c>
      <c r="G319" s="53">
        <f>IF($H$4="PRICE",$L$4,IF($H$4="SAC",$L$5,0))</f>
        <v/>
      </c>
      <c r="H319" s="54">
        <f>IFERROR(IF($H$4="SAC",$D$4/$D$6,G319-I319-K319),0)</f>
        <v/>
      </c>
      <c r="I319" s="55">
        <f>IFERROR(F319*$D$7,0)</f>
        <v/>
      </c>
      <c r="J319" s="44" t="n"/>
      <c r="K319" s="56">
        <f>IFERROR($H$5,0)</f>
        <v/>
      </c>
      <c r="L319" s="46" t="n"/>
      <c r="M319" s="44" t="n"/>
      <c r="N319" s="47">
        <f>IFERROR(N318+M319,N318)</f>
        <v/>
      </c>
      <c r="O319" s="48">
        <f>IF(M319="","⏳ PENDENTE",IF(M319&gt;=G319,"✅ PAGO","⚠️ PARCIAL"))</f>
        <v/>
      </c>
    </row>
    <row r="320" ht="19" customHeight="1">
      <c r="A320" s="5" t="n"/>
      <c r="B320" s="36" t="n">
        <v>307</v>
      </c>
      <c r="C320" s="37">
        <f>IFERROR(TEXT(EDATE(DATE(VALUE(RIGHT(D5,4)),MATCH(LEFT(D5,3),{"Jan","Fev","Mar","Abr","Mai","Jun","Jul","Ago","Set","Out","Nov","Dez"},0),1),306),"mmm/yyyy")</f>
        <v/>
      </c>
      <c r="D320" s="38">
        <f>IFERROR(EDATE(DATE(VALUE(RIGHT(D5,4)),MATCH(LEFT(D5,3),{"Jan","Fev","Mar","Abr","Mai","Jun","Jul","Ago","Set","Out","Nov","Dez"},0),5),306),"—")</f>
        <v/>
      </c>
      <c r="E320" s="39">
        <f>$H$4</f>
        <v/>
      </c>
      <c r="F320" s="40">
        <f>IFERROR(F319-H319-J319,0)</f>
        <v/>
      </c>
      <c r="G320" s="41">
        <f>IF($H$4="PRICE",$L$4,IF($H$4="SAC",$L$5,0))</f>
        <v/>
      </c>
      <c r="H320" s="42">
        <f>IFERROR(IF($H$4="SAC",$D$4/$D$6,G320-I320-K320),0)</f>
        <v/>
      </c>
      <c r="I320" s="43">
        <f>IFERROR(F320*$D$7,0)</f>
        <v/>
      </c>
      <c r="J320" s="44" t="n"/>
      <c r="K320" s="45">
        <f>IFERROR($H$5,0)</f>
        <v/>
      </c>
      <c r="L320" s="46" t="n"/>
      <c r="M320" s="44" t="n"/>
      <c r="N320" s="47">
        <f>IFERROR(N319+M320,N319)</f>
        <v/>
      </c>
      <c r="O320" s="48">
        <f>IF(M320="","⏳ PENDENTE",IF(M320&gt;=G320,"✅ PAGO","⚠️ PARCIAL"))</f>
        <v/>
      </c>
    </row>
    <row r="321" ht="19" customHeight="1">
      <c r="A321" s="1" t="n"/>
      <c r="B321" s="49" t="n">
        <v>308</v>
      </c>
      <c r="C321" s="50">
        <f>IFERROR(TEXT(EDATE(DATE(VALUE(RIGHT(D5,4)),MATCH(LEFT(D5,3),{"Jan","Fev","Mar","Abr","Mai","Jun","Jul","Ago","Set","Out","Nov","Dez"},0),1),307),"mmm/yyyy")</f>
        <v/>
      </c>
      <c r="D321" s="51">
        <f>IFERROR(EDATE(DATE(VALUE(RIGHT(D5,4)),MATCH(LEFT(D5,3),{"Jan","Fev","Mar","Abr","Mai","Jun","Jul","Ago","Set","Out","Nov","Dez"},0),5),307),"—")</f>
        <v/>
      </c>
      <c r="E321" s="39">
        <f>$H$4</f>
        <v/>
      </c>
      <c r="F321" s="52">
        <f>IFERROR(F320-H320-J320,0)</f>
        <v/>
      </c>
      <c r="G321" s="53">
        <f>IF($H$4="PRICE",$L$4,IF($H$4="SAC",$L$5,0))</f>
        <v/>
      </c>
      <c r="H321" s="54">
        <f>IFERROR(IF($H$4="SAC",$D$4/$D$6,G321-I321-K321),0)</f>
        <v/>
      </c>
      <c r="I321" s="55">
        <f>IFERROR(F321*$D$7,0)</f>
        <v/>
      </c>
      <c r="J321" s="44" t="n"/>
      <c r="K321" s="56">
        <f>IFERROR($H$5,0)</f>
        <v/>
      </c>
      <c r="L321" s="46" t="n"/>
      <c r="M321" s="44" t="n"/>
      <c r="N321" s="47">
        <f>IFERROR(N320+M321,N320)</f>
        <v/>
      </c>
      <c r="O321" s="48">
        <f>IF(M321="","⏳ PENDENTE",IF(M321&gt;=G321,"✅ PAGO","⚠️ PARCIAL"))</f>
        <v/>
      </c>
    </row>
    <row r="322" ht="19" customHeight="1">
      <c r="A322" s="5" t="n"/>
      <c r="B322" s="36" t="n">
        <v>309</v>
      </c>
      <c r="C322" s="37">
        <f>IFERROR(TEXT(EDATE(DATE(VALUE(RIGHT(D5,4)),MATCH(LEFT(D5,3),{"Jan","Fev","Mar","Abr","Mai","Jun","Jul","Ago","Set","Out","Nov","Dez"},0),1),308),"mmm/yyyy")</f>
        <v/>
      </c>
      <c r="D322" s="38">
        <f>IFERROR(EDATE(DATE(VALUE(RIGHT(D5,4)),MATCH(LEFT(D5,3),{"Jan","Fev","Mar","Abr","Mai","Jun","Jul","Ago","Set","Out","Nov","Dez"},0),5),308),"—")</f>
        <v/>
      </c>
      <c r="E322" s="39">
        <f>$H$4</f>
        <v/>
      </c>
      <c r="F322" s="40">
        <f>IFERROR(F321-H321-J321,0)</f>
        <v/>
      </c>
      <c r="G322" s="41">
        <f>IF($H$4="PRICE",$L$4,IF($H$4="SAC",$L$5,0))</f>
        <v/>
      </c>
      <c r="H322" s="42">
        <f>IFERROR(IF($H$4="SAC",$D$4/$D$6,G322-I322-K322),0)</f>
        <v/>
      </c>
      <c r="I322" s="43">
        <f>IFERROR(F322*$D$7,0)</f>
        <v/>
      </c>
      <c r="J322" s="44" t="n"/>
      <c r="K322" s="45">
        <f>IFERROR($H$5,0)</f>
        <v/>
      </c>
      <c r="L322" s="46" t="n"/>
      <c r="M322" s="44" t="n"/>
      <c r="N322" s="47">
        <f>IFERROR(N321+M322,N321)</f>
        <v/>
      </c>
      <c r="O322" s="48">
        <f>IF(M322="","⏳ PENDENTE",IF(M322&gt;=G322,"✅ PAGO","⚠️ PARCIAL"))</f>
        <v/>
      </c>
    </row>
    <row r="323" ht="19" customHeight="1">
      <c r="A323" s="1" t="n"/>
      <c r="B323" s="49" t="n">
        <v>310</v>
      </c>
      <c r="C323" s="50">
        <f>IFERROR(TEXT(EDATE(DATE(VALUE(RIGHT(D5,4)),MATCH(LEFT(D5,3),{"Jan","Fev","Mar","Abr","Mai","Jun","Jul","Ago","Set","Out","Nov","Dez"},0),1),309),"mmm/yyyy")</f>
        <v/>
      </c>
      <c r="D323" s="51">
        <f>IFERROR(EDATE(DATE(VALUE(RIGHT(D5,4)),MATCH(LEFT(D5,3),{"Jan","Fev","Mar","Abr","Mai","Jun","Jul","Ago","Set","Out","Nov","Dez"},0),5),309),"—")</f>
        <v/>
      </c>
      <c r="E323" s="39">
        <f>$H$4</f>
        <v/>
      </c>
      <c r="F323" s="52">
        <f>IFERROR(F322-H322-J322,0)</f>
        <v/>
      </c>
      <c r="G323" s="53">
        <f>IF($H$4="PRICE",$L$4,IF($H$4="SAC",$L$5,0))</f>
        <v/>
      </c>
      <c r="H323" s="54">
        <f>IFERROR(IF($H$4="SAC",$D$4/$D$6,G323-I323-K323),0)</f>
        <v/>
      </c>
      <c r="I323" s="55">
        <f>IFERROR(F323*$D$7,0)</f>
        <v/>
      </c>
      <c r="J323" s="44" t="n"/>
      <c r="K323" s="56">
        <f>IFERROR($H$5,0)</f>
        <v/>
      </c>
      <c r="L323" s="46" t="n"/>
      <c r="M323" s="44" t="n"/>
      <c r="N323" s="47">
        <f>IFERROR(N322+M323,N322)</f>
        <v/>
      </c>
      <c r="O323" s="48">
        <f>IF(M323="","⏳ PENDENTE",IF(M323&gt;=G323,"✅ PAGO","⚠️ PARCIAL"))</f>
        <v/>
      </c>
    </row>
    <row r="324" ht="19" customHeight="1">
      <c r="A324" s="5" t="n"/>
      <c r="B324" s="36" t="n">
        <v>311</v>
      </c>
      <c r="C324" s="37">
        <f>IFERROR(TEXT(EDATE(DATE(VALUE(RIGHT(D5,4)),MATCH(LEFT(D5,3),{"Jan","Fev","Mar","Abr","Mai","Jun","Jul","Ago","Set","Out","Nov","Dez"},0),1),310),"mmm/yyyy")</f>
        <v/>
      </c>
      <c r="D324" s="38">
        <f>IFERROR(EDATE(DATE(VALUE(RIGHT(D5,4)),MATCH(LEFT(D5,3),{"Jan","Fev","Mar","Abr","Mai","Jun","Jul","Ago","Set","Out","Nov","Dez"},0),5),310),"—")</f>
        <v/>
      </c>
      <c r="E324" s="39">
        <f>$H$4</f>
        <v/>
      </c>
      <c r="F324" s="40">
        <f>IFERROR(F323-H323-J323,0)</f>
        <v/>
      </c>
      <c r="G324" s="41">
        <f>IF($H$4="PRICE",$L$4,IF($H$4="SAC",$L$5,0))</f>
        <v/>
      </c>
      <c r="H324" s="42">
        <f>IFERROR(IF($H$4="SAC",$D$4/$D$6,G324-I324-K324),0)</f>
        <v/>
      </c>
      <c r="I324" s="43">
        <f>IFERROR(F324*$D$7,0)</f>
        <v/>
      </c>
      <c r="J324" s="44" t="n"/>
      <c r="K324" s="45">
        <f>IFERROR($H$5,0)</f>
        <v/>
      </c>
      <c r="L324" s="46" t="n"/>
      <c r="M324" s="44" t="n"/>
      <c r="N324" s="47">
        <f>IFERROR(N323+M324,N323)</f>
        <v/>
      </c>
      <c r="O324" s="48">
        <f>IF(M324="","⏳ PENDENTE",IF(M324&gt;=G324,"✅ PAGO","⚠️ PARCIAL"))</f>
        <v/>
      </c>
    </row>
    <row r="325" ht="19" customHeight="1">
      <c r="A325" s="1" t="n"/>
      <c r="B325" s="49" t="n">
        <v>312</v>
      </c>
      <c r="C325" s="50">
        <f>IFERROR(TEXT(EDATE(DATE(VALUE(RIGHT(D5,4)),MATCH(LEFT(D5,3),{"Jan","Fev","Mar","Abr","Mai","Jun","Jul","Ago","Set","Out","Nov","Dez"},0),1),311),"mmm/yyyy")</f>
        <v/>
      </c>
      <c r="D325" s="51">
        <f>IFERROR(EDATE(DATE(VALUE(RIGHT(D5,4)),MATCH(LEFT(D5,3),{"Jan","Fev","Mar","Abr","Mai","Jun","Jul","Ago","Set","Out","Nov","Dez"},0),5),311),"—")</f>
        <v/>
      </c>
      <c r="E325" s="39">
        <f>$H$4</f>
        <v/>
      </c>
      <c r="F325" s="52">
        <f>IFERROR(F324-H324-J324,0)</f>
        <v/>
      </c>
      <c r="G325" s="53">
        <f>IF($H$4="PRICE",$L$4,IF($H$4="SAC",$L$5,0))</f>
        <v/>
      </c>
      <c r="H325" s="54">
        <f>IFERROR(IF($H$4="SAC",$D$4/$D$6,G325-I325-K325),0)</f>
        <v/>
      </c>
      <c r="I325" s="55">
        <f>IFERROR(F325*$D$7,0)</f>
        <v/>
      </c>
      <c r="J325" s="44" t="n"/>
      <c r="K325" s="56">
        <f>IFERROR($H$5,0)</f>
        <v/>
      </c>
      <c r="L325" s="46" t="n"/>
      <c r="M325" s="44" t="n"/>
      <c r="N325" s="47">
        <f>IFERROR(N324+M325,N324)</f>
        <v/>
      </c>
      <c r="O325" s="48">
        <f>IF(M325="","⏳ PENDENTE",IF(M325&gt;=G325,"✅ PAGO","⚠️ PARCIAL"))</f>
        <v/>
      </c>
    </row>
    <row r="326" ht="19" customHeight="1">
      <c r="A326" s="5" t="n"/>
      <c r="B326" s="36" t="n">
        <v>313</v>
      </c>
      <c r="C326" s="37">
        <f>IFERROR(TEXT(EDATE(DATE(VALUE(RIGHT(D5,4)),MATCH(LEFT(D5,3),{"Jan","Fev","Mar","Abr","Mai","Jun","Jul","Ago","Set","Out","Nov","Dez"},0),1),312),"mmm/yyyy")</f>
        <v/>
      </c>
      <c r="D326" s="38">
        <f>IFERROR(EDATE(DATE(VALUE(RIGHT(D5,4)),MATCH(LEFT(D5,3),{"Jan","Fev","Mar","Abr","Mai","Jun","Jul","Ago","Set","Out","Nov","Dez"},0),5),312),"—")</f>
        <v/>
      </c>
      <c r="E326" s="39">
        <f>$H$4</f>
        <v/>
      </c>
      <c r="F326" s="40">
        <f>IFERROR(F325-H325-J325,0)</f>
        <v/>
      </c>
      <c r="G326" s="41">
        <f>IF($H$4="PRICE",$L$4,IF($H$4="SAC",$L$5,0))</f>
        <v/>
      </c>
      <c r="H326" s="42">
        <f>IFERROR(IF($H$4="SAC",$D$4/$D$6,G326-I326-K326),0)</f>
        <v/>
      </c>
      <c r="I326" s="43">
        <f>IFERROR(F326*$D$7,0)</f>
        <v/>
      </c>
      <c r="J326" s="44" t="n"/>
      <c r="K326" s="45">
        <f>IFERROR($H$5,0)</f>
        <v/>
      </c>
      <c r="L326" s="46" t="n"/>
      <c r="M326" s="44" t="n"/>
      <c r="N326" s="47">
        <f>IFERROR(N325+M326,N325)</f>
        <v/>
      </c>
      <c r="O326" s="48">
        <f>IF(M326="","⏳ PENDENTE",IF(M326&gt;=G326,"✅ PAGO","⚠️ PARCIAL"))</f>
        <v/>
      </c>
    </row>
    <row r="327" ht="19" customHeight="1">
      <c r="A327" s="1" t="n"/>
      <c r="B327" s="49" t="n">
        <v>314</v>
      </c>
      <c r="C327" s="50">
        <f>IFERROR(TEXT(EDATE(DATE(VALUE(RIGHT(D5,4)),MATCH(LEFT(D5,3),{"Jan","Fev","Mar","Abr","Mai","Jun","Jul","Ago","Set","Out","Nov","Dez"},0),1),313),"mmm/yyyy")</f>
        <v/>
      </c>
      <c r="D327" s="51">
        <f>IFERROR(EDATE(DATE(VALUE(RIGHT(D5,4)),MATCH(LEFT(D5,3),{"Jan","Fev","Mar","Abr","Mai","Jun","Jul","Ago","Set","Out","Nov","Dez"},0),5),313),"—")</f>
        <v/>
      </c>
      <c r="E327" s="39">
        <f>$H$4</f>
        <v/>
      </c>
      <c r="F327" s="52">
        <f>IFERROR(F326-H326-J326,0)</f>
        <v/>
      </c>
      <c r="G327" s="53">
        <f>IF($H$4="PRICE",$L$4,IF($H$4="SAC",$L$5,0))</f>
        <v/>
      </c>
      <c r="H327" s="54">
        <f>IFERROR(IF($H$4="SAC",$D$4/$D$6,G327-I327-K327),0)</f>
        <v/>
      </c>
      <c r="I327" s="55">
        <f>IFERROR(F327*$D$7,0)</f>
        <v/>
      </c>
      <c r="J327" s="44" t="n"/>
      <c r="K327" s="56">
        <f>IFERROR($H$5,0)</f>
        <v/>
      </c>
      <c r="L327" s="46" t="n"/>
      <c r="M327" s="44" t="n"/>
      <c r="N327" s="47">
        <f>IFERROR(N326+M327,N326)</f>
        <v/>
      </c>
      <c r="O327" s="48">
        <f>IF(M327="","⏳ PENDENTE",IF(M327&gt;=G327,"✅ PAGO","⚠️ PARCIAL"))</f>
        <v/>
      </c>
    </row>
    <row r="328" ht="19" customHeight="1">
      <c r="A328" s="5" t="n"/>
      <c r="B328" s="36" t="n">
        <v>315</v>
      </c>
      <c r="C328" s="37">
        <f>IFERROR(TEXT(EDATE(DATE(VALUE(RIGHT(D5,4)),MATCH(LEFT(D5,3),{"Jan","Fev","Mar","Abr","Mai","Jun","Jul","Ago","Set","Out","Nov","Dez"},0),1),314),"mmm/yyyy")</f>
        <v/>
      </c>
      <c r="D328" s="38">
        <f>IFERROR(EDATE(DATE(VALUE(RIGHT(D5,4)),MATCH(LEFT(D5,3),{"Jan","Fev","Mar","Abr","Mai","Jun","Jul","Ago","Set","Out","Nov","Dez"},0),5),314),"—")</f>
        <v/>
      </c>
      <c r="E328" s="39">
        <f>$H$4</f>
        <v/>
      </c>
      <c r="F328" s="40">
        <f>IFERROR(F327-H327-J327,0)</f>
        <v/>
      </c>
      <c r="G328" s="41">
        <f>IF($H$4="PRICE",$L$4,IF($H$4="SAC",$L$5,0))</f>
        <v/>
      </c>
      <c r="H328" s="42">
        <f>IFERROR(IF($H$4="SAC",$D$4/$D$6,G328-I328-K328),0)</f>
        <v/>
      </c>
      <c r="I328" s="43">
        <f>IFERROR(F328*$D$7,0)</f>
        <v/>
      </c>
      <c r="J328" s="44" t="n"/>
      <c r="K328" s="45">
        <f>IFERROR($H$5,0)</f>
        <v/>
      </c>
      <c r="L328" s="46" t="n"/>
      <c r="M328" s="44" t="n"/>
      <c r="N328" s="47">
        <f>IFERROR(N327+M328,N327)</f>
        <v/>
      </c>
      <c r="O328" s="48">
        <f>IF(M328="","⏳ PENDENTE",IF(M328&gt;=G328,"✅ PAGO","⚠️ PARCIAL"))</f>
        <v/>
      </c>
    </row>
    <row r="329" ht="19" customHeight="1">
      <c r="A329" s="1" t="n"/>
      <c r="B329" s="49" t="n">
        <v>316</v>
      </c>
      <c r="C329" s="50">
        <f>IFERROR(TEXT(EDATE(DATE(VALUE(RIGHT(D5,4)),MATCH(LEFT(D5,3),{"Jan","Fev","Mar","Abr","Mai","Jun","Jul","Ago","Set","Out","Nov","Dez"},0),1),315),"mmm/yyyy")</f>
        <v/>
      </c>
      <c r="D329" s="51">
        <f>IFERROR(EDATE(DATE(VALUE(RIGHT(D5,4)),MATCH(LEFT(D5,3),{"Jan","Fev","Mar","Abr","Mai","Jun","Jul","Ago","Set","Out","Nov","Dez"},0),5),315),"—")</f>
        <v/>
      </c>
      <c r="E329" s="39">
        <f>$H$4</f>
        <v/>
      </c>
      <c r="F329" s="52">
        <f>IFERROR(F328-H328-J328,0)</f>
        <v/>
      </c>
      <c r="G329" s="53">
        <f>IF($H$4="PRICE",$L$4,IF($H$4="SAC",$L$5,0))</f>
        <v/>
      </c>
      <c r="H329" s="54">
        <f>IFERROR(IF($H$4="SAC",$D$4/$D$6,G329-I329-K329),0)</f>
        <v/>
      </c>
      <c r="I329" s="55">
        <f>IFERROR(F329*$D$7,0)</f>
        <v/>
      </c>
      <c r="J329" s="44" t="n"/>
      <c r="K329" s="56">
        <f>IFERROR($H$5,0)</f>
        <v/>
      </c>
      <c r="L329" s="46" t="n"/>
      <c r="M329" s="44" t="n"/>
      <c r="N329" s="47">
        <f>IFERROR(N328+M329,N328)</f>
        <v/>
      </c>
      <c r="O329" s="48">
        <f>IF(M329="","⏳ PENDENTE",IF(M329&gt;=G329,"✅ PAGO","⚠️ PARCIAL"))</f>
        <v/>
      </c>
    </row>
    <row r="330" ht="19" customHeight="1">
      <c r="A330" s="5" t="n"/>
      <c r="B330" s="36" t="n">
        <v>317</v>
      </c>
      <c r="C330" s="37">
        <f>IFERROR(TEXT(EDATE(DATE(VALUE(RIGHT(D5,4)),MATCH(LEFT(D5,3),{"Jan","Fev","Mar","Abr","Mai","Jun","Jul","Ago","Set","Out","Nov","Dez"},0),1),316),"mmm/yyyy")</f>
        <v/>
      </c>
      <c r="D330" s="38">
        <f>IFERROR(EDATE(DATE(VALUE(RIGHT(D5,4)),MATCH(LEFT(D5,3),{"Jan","Fev","Mar","Abr","Mai","Jun","Jul","Ago","Set","Out","Nov","Dez"},0),5),316),"—")</f>
        <v/>
      </c>
      <c r="E330" s="39">
        <f>$H$4</f>
        <v/>
      </c>
      <c r="F330" s="40">
        <f>IFERROR(F329-H329-J329,0)</f>
        <v/>
      </c>
      <c r="G330" s="41">
        <f>IF($H$4="PRICE",$L$4,IF($H$4="SAC",$L$5,0))</f>
        <v/>
      </c>
      <c r="H330" s="42">
        <f>IFERROR(IF($H$4="SAC",$D$4/$D$6,G330-I330-K330),0)</f>
        <v/>
      </c>
      <c r="I330" s="43">
        <f>IFERROR(F330*$D$7,0)</f>
        <v/>
      </c>
      <c r="J330" s="44" t="n"/>
      <c r="K330" s="45">
        <f>IFERROR($H$5,0)</f>
        <v/>
      </c>
      <c r="L330" s="46" t="n"/>
      <c r="M330" s="44" t="n"/>
      <c r="N330" s="47">
        <f>IFERROR(N329+M330,N329)</f>
        <v/>
      </c>
      <c r="O330" s="48">
        <f>IF(M330="","⏳ PENDENTE",IF(M330&gt;=G330,"✅ PAGO","⚠️ PARCIAL"))</f>
        <v/>
      </c>
    </row>
    <row r="331" ht="19" customHeight="1">
      <c r="A331" s="1" t="n"/>
      <c r="B331" s="49" t="n">
        <v>318</v>
      </c>
      <c r="C331" s="50">
        <f>IFERROR(TEXT(EDATE(DATE(VALUE(RIGHT(D5,4)),MATCH(LEFT(D5,3),{"Jan","Fev","Mar","Abr","Mai","Jun","Jul","Ago","Set","Out","Nov","Dez"},0),1),317),"mmm/yyyy")</f>
        <v/>
      </c>
      <c r="D331" s="51">
        <f>IFERROR(EDATE(DATE(VALUE(RIGHT(D5,4)),MATCH(LEFT(D5,3),{"Jan","Fev","Mar","Abr","Mai","Jun","Jul","Ago","Set","Out","Nov","Dez"},0),5),317),"—")</f>
        <v/>
      </c>
      <c r="E331" s="39">
        <f>$H$4</f>
        <v/>
      </c>
      <c r="F331" s="52">
        <f>IFERROR(F330-H330-J330,0)</f>
        <v/>
      </c>
      <c r="G331" s="53">
        <f>IF($H$4="PRICE",$L$4,IF($H$4="SAC",$L$5,0))</f>
        <v/>
      </c>
      <c r="H331" s="54">
        <f>IFERROR(IF($H$4="SAC",$D$4/$D$6,G331-I331-K331),0)</f>
        <v/>
      </c>
      <c r="I331" s="55">
        <f>IFERROR(F331*$D$7,0)</f>
        <v/>
      </c>
      <c r="J331" s="44" t="n"/>
      <c r="K331" s="56">
        <f>IFERROR($H$5,0)</f>
        <v/>
      </c>
      <c r="L331" s="46" t="n"/>
      <c r="M331" s="44" t="n"/>
      <c r="N331" s="47">
        <f>IFERROR(N330+M331,N330)</f>
        <v/>
      </c>
      <c r="O331" s="48">
        <f>IF(M331="","⏳ PENDENTE",IF(M331&gt;=G331,"✅ PAGO","⚠️ PARCIAL"))</f>
        <v/>
      </c>
    </row>
    <row r="332" ht="19" customHeight="1">
      <c r="A332" s="5" t="n"/>
      <c r="B332" s="36" t="n">
        <v>319</v>
      </c>
      <c r="C332" s="37">
        <f>IFERROR(TEXT(EDATE(DATE(VALUE(RIGHT(D5,4)),MATCH(LEFT(D5,3),{"Jan","Fev","Mar","Abr","Mai","Jun","Jul","Ago","Set","Out","Nov","Dez"},0),1),318),"mmm/yyyy")</f>
        <v/>
      </c>
      <c r="D332" s="38">
        <f>IFERROR(EDATE(DATE(VALUE(RIGHT(D5,4)),MATCH(LEFT(D5,3),{"Jan","Fev","Mar","Abr","Mai","Jun","Jul","Ago","Set","Out","Nov","Dez"},0),5),318),"—")</f>
        <v/>
      </c>
      <c r="E332" s="39">
        <f>$H$4</f>
        <v/>
      </c>
      <c r="F332" s="40">
        <f>IFERROR(F331-H331-J331,0)</f>
        <v/>
      </c>
      <c r="G332" s="41">
        <f>IF($H$4="PRICE",$L$4,IF($H$4="SAC",$L$5,0))</f>
        <v/>
      </c>
      <c r="H332" s="42">
        <f>IFERROR(IF($H$4="SAC",$D$4/$D$6,G332-I332-K332),0)</f>
        <v/>
      </c>
      <c r="I332" s="43">
        <f>IFERROR(F332*$D$7,0)</f>
        <v/>
      </c>
      <c r="J332" s="44" t="n"/>
      <c r="K332" s="45">
        <f>IFERROR($H$5,0)</f>
        <v/>
      </c>
      <c r="L332" s="46" t="n"/>
      <c r="M332" s="44" t="n"/>
      <c r="N332" s="47">
        <f>IFERROR(N331+M332,N331)</f>
        <v/>
      </c>
      <c r="O332" s="48">
        <f>IF(M332="","⏳ PENDENTE",IF(M332&gt;=G332,"✅ PAGO","⚠️ PARCIAL"))</f>
        <v/>
      </c>
    </row>
    <row r="333" ht="19" customHeight="1">
      <c r="A333" s="1" t="n"/>
      <c r="B333" s="49" t="n">
        <v>320</v>
      </c>
      <c r="C333" s="50">
        <f>IFERROR(TEXT(EDATE(DATE(VALUE(RIGHT(D5,4)),MATCH(LEFT(D5,3),{"Jan","Fev","Mar","Abr","Mai","Jun","Jul","Ago","Set","Out","Nov","Dez"},0),1),319),"mmm/yyyy")</f>
        <v/>
      </c>
      <c r="D333" s="51">
        <f>IFERROR(EDATE(DATE(VALUE(RIGHT(D5,4)),MATCH(LEFT(D5,3),{"Jan","Fev","Mar","Abr","Mai","Jun","Jul","Ago","Set","Out","Nov","Dez"},0),5),319),"—")</f>
        <v/>
      </c>
      <c r="E333" s="39">
        <f>$H$4</f>
        <v/>
      </c>
      <c r="F333" s="52">
        <f>IFERROR(F332-H332-J332,0)</f>
        <v/>
      </c>
      <c r="G333" s="53">
        <f>IF($H$4="PRICE",$L$4,IF($H$4="SAC",$L$5,0))</f>
        <v/>
      </c>
      <c r="H333" s="54">
        <f>IFERROR(IF($H$4="SAC",$D$4/$D$6,G333-I333-K333),0)</f>
        <v/>
      </c>
      <c r="I333" s="55">
        <f>IFERROR(F333*$D$7,0)</f>
        <v/>
      </c>
      <c r="J333" s="44" t="n"/>
      <c r="K333" s="56">
        <f>IFERROR($H$5,0)</f>
        <v/>
      </c>
      <c r="L333" s="46" t="n"/>
      <c r="M333" s="44" t="n"/>
      <c r="N333" s="47">
        <f>IFERROR(N332+M333,N332)</f>
        <v/>
      </c>
      <c r="O333" s="48">
        <f>IF(M333="","⏳ PENDENTE",IF(M333&gt;=G333,"✅ PAGO","⚠️ PARCIAL"))</f>
        <v/>
      </c>
    </row>
    <row r="334" ht="19" customHeight="1">
      <c r="A334" s="5" t="n"/>
      <c r="B334" s="36" t="n">
        <v>321</v>
      </c>
      <c r="C334" s="37">
        <f>IFERROR(TEXT(EDATE(DATE(VALUE(RIGHT(D5,4)),MATCH(LEFT(D5,3),{"Jan","Fev","Mar","Abr","Mai","Jun","Jul","Ago","Set","Out","Nov","Dez"},0),1),320),"mmm/yyyy")</f>
        <v/>
      </c>
      <c r="D334" s="38">
        <f>IFERROR(EDATE(DATE(VALUE(RIGHT(D5,4)),MATCH(LEFT(D5,3),{"Jan","Fev","Mar","Abr","Mai","Jun","Jul","Ago","Set","Out","Nov","Dez"},0),5),320),"—")</f>
        <v/>
      </c>
      <c r="E334" s="39">
        <f>$H$4</f>
        <v/>
      </c>
      <c r="F334" s="40">
        <f>IFERROR(F333-H333-J333,0)</f>
        <v/>
      </c>
      <c r="G334" s="41">
        <f>IF($H$4="PRICE",$L$4,IF($H$4="SAC",$L$5,0))</f>
        <v/>
      </c>
      <c r="H334" s="42">
        <f>IFERROR(IF($H$4="SAC",$D$4/$D$6,G334-I334-K334),0)</f>
        <v/>
      </c>
      <c r="I334" s="43">
        <f>IFERROR(F334*$D$7,0)</f>
        <v/>
      </c>
      <c r="J334" s="44" t="n"/>
      <c r="K334" s="45">
        <f>IFERROR($H$5,0)</f>
        <v/>
      </c>
      <c r="L334" s="46" t="n"/>
      <c r="M334" s="44" t="n"/>
      <c r="N334" s="47">
        <f>IFERROR(N333+M334,N333)</f>
        <v/>
      </c>
      <c r="O334" s="48">
        <f>IF(M334="","⏳ PENDENTE",IF(M334&gt;=G334,"✅ PAGO","⚠️ PARCIAL"))</f>
        <v/>
      </c>
    </row>
    <row r="335" ht="19" customHeight="1">
      <c r="A335" s="1" t="n"/>
      <c r="B335" s="49" t="n">
        <v>322</v>
      </c>
      <c r="C335" s="50">
        <f>IFERROR(TEXT(EDATE(DATE(VALUE(RIGHT(D5,4)),MATCH(LEFT(D5,3),{"Jan","Fev","Mar","Abr","Mai","Jun","Jul","Ago","Set","Out","Nov","Dez"},0),1),321),"mmm/yyyy")</f>
        <v/>
      </c>
      <c r="D335" s="51">
        <f>IFERROR(EDATE(DATE(VALUE(RIGHT(D5,4)),MATCH(LEFT(D5,3),{"Jan","Fev","Mar","Abr","Mai","Jun","Jul","Ago","Set","Out","Nov","Dez"},0),5),321),"—")</f>
        <v/>
      </c>
      <c r="E335" s="39">
        <f>$H$4</f>
        <v/>
      </c>
      <c r="F335" s="52">
        <f>IFERROR(F334-H334-J334,0)</f>
        <v/>
      </c>
      <c r="G335" s="53">
        <f>IF($H$4="PRICE",$L$4,IF($H$4="SAC",$L$5,0))</f>
        <v/>
      </c>
      <c r="H335" s="54">
        <f>IFERROR(IF($H$4="SAC",$D$4/$D$6,G335-I335-K335),0)</f>
        <v/>
      </c>
      <c r="I335" s="55">
        <f>IFERROR(F335*$D$7,0)</f>
        <v/>
      </c>
      <c r="J335" s="44" t="n"/>
      <c r="K335" s="56">
        <f>IFERROR($H$5,0)</f>
        <v/>
      </c>
      <c r="L335" s="46" t="n"/>
      <c r="M335" s="44" t="n"/>
      <c r="N335" s="47">
        <f>IFERROR(N334+M335,N334)</f>
        <v/>
      </c>
      <c r="O335" s="48">
        <f>IF(M335="","⏳ PENDENTE",IF(M335&gt;=G335,"✅ PAGO","⚠️ PARCIAL"))</f>
        <v/>
      </c>
    </row>
    <row r="336" ht="19" customHeight="1">
      <c r="A336" s="5" t="n"/>
      <c r="B336" s="36" t="n">
        <v>323</v>
      </c>
      <c r="C336" s="37">
        <f>IFERROR(TEXT(EDATE(DATE(VALUE(RIGHT(D5,4)),MATCH(LEFT(D5,3),{"Jan","Fev","Mar","Abr","Mai","Jun","Jul","Ago","Set","Out","Nov","Dez"},0),1),322),"mmm/yyyy")</f>
        <v/>
      </c>
      <c r="D336" s="38">
        <f>IFERROR(EDATE(DATE(VALUE(RIGHT(D5,4)),MATCH(LEFT(D5,3),{"Jan","Fev","Mar","Abr","Mai","Jun","Jul","Ago","Set","Out","Nov","Dez"},0),5),322),"—")</f>
        <v/>
      </c>
      <c r="E336" s="39">
        <f>$H$4</f>
        <v/>
      </c>
      <c r="F336" s="40">
        <f>IFERROR(F335-H335-J335,0)</f>
        <v/>
      </c>
      <c r="G336" s="41">
        <f>IF($H$4="PRICE",$L$4,IF($H$4="SAC",$L$5,0))</f>
        <v/>
      </c>
      <c r="H336" s="42">
        <f>IFERROR(IF($H$4="SAC",$D$4/$D$6,G336-I336-K336),0)</f>
        <v/>
      </c>
      <c r="I336" s="43">
        <f>IFERROR(F336*$D$7,0)</f>
        <v/>
      </c>
      <c r="J336" s="44" t="n"/>
      <c r="K336" s="45">
        <f>IFERROR($H$5,0)</f>
        <v/>
      </c>
      <c r="L336" s="46" t="n"/>
      <c r="M336" s="44" t="n"/>
      <c r="N336" s="47">
        <f>IFERROR(N335+M336,N335)</f>
        <v/>
      </c>
      <c r="O336" s="48">
        <f>IF(M336="","⏳ PENDENTE",IF(M336&gt;=G336,"✅ PAGO","⚠️ PARCIAL"))</f>
        <v/>
      </c>
    </row>
    <row r="337" ht="19" customHeight="1">
      <c r="A337" s="1" t="n"/>
      <c r="B337" s="49" t="n">
        <v>324</v>
      </c>
      <c r="C337" s="50">
        <f>IFERROR(TEXT(EDATE(DATE(VALUE(RIGHT(D5,4)),MATCH(LEFT(D5,3),{"Jan","Fev","Mar","Abr","Mai","Jun","Jul","Ago","Set","Out","Nov","Dez"},0),1),323),"mmm/yyyy")</f>
        <v/>
      </c>
      <c r="D337" s="51">
        <f>IFERROR(EDATE(DATE(VALUE(RIGHT(D5,4)),MATCH(LEFT(D5,3),{"Jan","Fev","Mar","Abr","Mai","Jun","Jul","Ago","Set","Out","Nov","Dez"},0),5),323),"—")</f>
        <v/>
      </c>
      <c r="E337" s="39">
        <f>$H$4</f>
        <v/>
      </c>
      <c r="F337" s="52">
        <f>IFERROR(F336-H336-J336,0)</f>
        <v/>
      </c>
      <c r="G337" s="53">
        <f>IF($H$4="PRICE",$L$4,IF($H$4="SAC",$L$5,0))</f>
        <v/>
      </c>
      <c r="H337" s="54">
        <f>IFERROR(IF($H$4="SAC",$D$4/$D$6,G337-I337-K337),0)</f>
        <v/>
      </c>
      <c r="I337" s="55">
        <f>IFERROR(F337*$D$7,0)</f>
        <v/>
      </c>
      <c r="J337" s="44" t="n"/>
      <c r="K337" s="56">
        <f>IFERROR($H$5,0)</f>
        <v/>
      </c>
      <c r="L337" s="46" t="n"/>
      <c r="M337" s="44" t="n"/>
      <c r="N337" s="47">
        <f>IFERROR(N336+M337,N336)</f>
        <v/>
      </c>
      <c r="O337" s="48">
        <f>IF(M337="","⏳ PENDENTE",IF(M337&gt;=G337,"✅ PAGO","⚠️ PARCIAL"))</f>
        <v/>
      </c>
    </row>
    <row r="338" ht="19" customHeight="1">
      <c r="A338" s="5" t="n"/>
      <c r="B338" s="36" t="n">
        <v>325</v>
      </c>
      <c r="C338" s="37">
        <f>IFERROR(TEXT(EDATE(DATE(VALUE(RIGHT(D5,4)),MATCH(LEFT(D5,3),{"Jan","Fev","Mar","Abr","Mai","Jun","Jul","Ago","Set","Out","Nov","Dez"},0),1),324),"mmm/yyyy")</f>
        <v/>
      </c>
      <c r="D338" s="38">
        <f>IFERROR(EDATE(DATE(VALUE(RIGHT(D5,4)),MATCH(LEFT(D5,3),{"Jan","Fev","Mar","Abr","Mai","Jun","Jul","Ago","Set","Out","Nov","Dez"},0),5),324),"—")</f>
        <v/>
      </c>
      <c r="E338" s="39">
        <f>$H$4</f>
        <v/>
      </c>
      <c r="F338" s="40">
        <f>IFERROR(F337-H337-J337,0)</f>
        <v/>
      </c>
      <c r="G338" s="41">
        <f>IF($H$4="PRICE",$L$4,IF($H$4="SAC",$L$5,0))</f>
        <v/>
      </c>
      <c r="H338" s="42">
        <f>IFERROR(IF($H$4="SAC",$D$4/$D$6,G338-I338-K338),0)</f>
        <v/>
      </c>
      <c r="I338" s="43">
        <f>IFERROR(F338*$D$7,0)</f>
        <v/>
      </c>
      <c r="J338" s="44" t="n"/>
      <c r="K338" s="45">
        <f>IFERROR($H$5,0)</f>
        <v/>
      </c>
      <c r="L338" s="46" t="n"/>
      <c r="M338" s="44" t="n"/>
      <c r="N338" s="47">
        <f>IFERROR(N337+M338,N337)</f>
        <v/>
      </c>
      <c r="O338" s="48">
        <f>IF(M338="","⏳ PENDENTE",IF(M338&gt;=G338,"✅ PAGO","⚠️ PARCIAL"))</f>
        <v/>
      </c>
    </row>
    <row r="339" ht="19" customHeight="1">
      <c r="A339" s="1" t="n"/>
      <c r="B339" s="49" t="n">
        <v>326</v>
      </c>
      <c r="C339" s="50">
        <f>IFERROR(TEXT(EDATE(DATE(VALUE(RIGHT(D5,4)),MATCH(LEFT(D5,3),{"Jan","Fev","Mar","Abr","Mai","Jun","Jul","Ago","Set","Out","Nov","Dez"},0),1),325),"mmm/yyyy")</f>
        <v/>
      </c>
      <c r="D339" s="51">
        <f>IFERROR(EDATE(DATE(VALUE(RIGHT(D5,4)),MATCH(LEFT(D5,3),{"Jan","Fev","Mar","Abr","Mai","Jun","Jul","Ago","Set","Out","Nov","Dez"},0),5),325),"—")</f>
        <v/>
      </c>
      <c r="E339" s="39">
        <f>$H$4</f>
        <v/>
      </c>
      <c r="F339" s="52">
        <f>IFERROR(F338-H338-J338,0)</f>
        <v/>
      </c>
      <c r="G339" s="53">
        <f>IF($H$4="PRICE",$L$4,IF($H$4="SAC",$L$5,0))</f>
        <v/>
      </c>
      <c r="H339" s="54">
        <f>IFERROR(IF($H$4="SAC",$D$4/$D$6,G339-I339-K339),0)</f>
        <v/>
      </c>
      <c r="I339" s="55">
        <f>IFERROR(F339*$D$7,0)</f>
        <v/>
      </c>
      <c r="J339" s="44" t="n"/>
      <c r="K339" s="56">
        <f>IFERROR($H$5,0)</f>
        <v/>
      </c>
      <c r="L339" s="46" t="n"/>
      <c r="M339" s="44" t="n"/>
      <c r="N339" s="47">
        <f>IFERROR(N338+M339,N338)</f>
        <v/>
      </c>
      <c r="O339" s="48">
        <f>IF(M339="","⏳ PENDENTE",IF(M339&gt;=G339,"✅ PAGO","⚠️ PARCIAL"))</f>
        <v/>
      </c>
    </row>
    <row r="340" ht="19" customHeight="1">
      <c r="A340" s="5" t="n"/>
      <c r="B340" s="36" t="n">
        <v>327</v>
      </c>
      <c r="C340" s="37">
        <f>IFERROR(TEXT(EDATE(DATE(VALUE(RIGHT(D5,4)),MATCH(LEFT(D5,3),{"Jan","Fev","Mar","Abr","Mai","Jun","Jul","Ago","Set","Out","Nov","Dez"},0),1),326),"mmm/yyyy")</f>
        <v/>
      </c>
      <c r="D340" s="38">
        <f>IFERROR(EDATE(DATE(VALUE(RIGHT(D5,4)),MATCH(LEFT(D5,3),{"Jan","Fev","Mar","Abr","Mai","Jun","Jul","Ago","Set","Out","Nov","Dez"},0),5),326),"—")</f>
        <v/>
      </c>
      <c r="E340" s="39">
        <f>$H$4</f>
        <v/>
      </c>
      <c r="F340" s="40">
        <f>IFERROR(F339-H339-J339,0)</f>
        <v/>
      </c>
      <c r="G340" s="41">
        <f>IF($H$4="PRICE",$L$4,IF($H$4="SAC",$L$5,0))</f>
        <v/>
      </c>
      <c r="H340" s="42">
        <f>IFERROR(IF($H$4="SAC",$D$4/$D$6,G340-I340-K340),0)</f>
        <v/>
      </c>
      <c r="I340" s="43">
        <f>IFERROR(F340*$D$7,0)</f>
        <v/>
      </c>
      <c r="J340" s="44" t="n"/>
      <c r="K340" s="45">
        <f>IFERROR($H$5,0)</f>
        <v/>
      </c>
      <c r="L340" s="46" t="n"/>
      <c r="M340" s="44" t="n"/>
      <c r="N340" s="47">
        <f>IFERROR(N339+M340,N339)</f>
        <v/>
      </c>
      <c r="O340" s="48">
        <f>IF(M340="","⏳ PENDENTE",IF(M340&gt;=G340,"✅ PAGO","⚠️ PARCIAL"))</f>
        <v/>
      </c>
    </row>
    <row r="341" ht="19" customHeight="1">
      <c r="A341" s="1" t="n"/>
      <c r="B341" s="49" t="n">
        <v>328</v>
      </c>
      <c r="C341" s="50">
        <f>IFERROR(TEXT(EDATE(DATE(VALUE(RIGHT(D5,4)),MATCH(LEFT(D5,3),{"Jan","Fev","Mar","Abr","Mai","Jun","Jul","Ago","Set","Out","Nov","Dez"},0),1),327),"mmm/yyyy")</f>
        <v/>
      </c>
      <c r="D341" s="51">
        <f>IFERROR(EDATE(DATE(VALUE(RIGHT(D5,4)),MATCH(LEFT(D5,3),{"Jan","Fev","Mar","Abr","Mai","Jun","Jul","Ago","Set","Out","Nov","Dez"},0),5),327),"—")</f>
        <v/>
      </c>
      <c r="E341" s="39">
        <f>$H$4</f>
        <v/>
      </c>
      <c r="F341" s="52">
        <f>IFERROR(F340-H340-J340,0)</f>
        <v/>
      </c>
      <c r="G341" s="53">
        <f>IF($H$4="PRICE",$L$4,IF($H$4="SAC",$L$5,0))</f>
        <v/>
      </c>
      <c r="H341" s="54">
        <f>IFERROR(IF($H$4="SAC",$D$4/$D$6,G341-I341-K341),0)</f>
        <v/>
      </c>
      <c r="I341" s="55">
        <f>IFERROR(F341*$D$7,0)</f>
        <v/>
      </c>
      <c r="J341" s="44" t="n"/>
      <c r="K341" s="56">
        <f>IFERROR($H$5,0)</f>
        <v/>
      </c>
      <c r="L341" s="46" t="n"/>
      <c r="M341" s="44" t="n"/>
      <c r="N341" s="47">
        <f>IFERROR(N340+M341,N340)</f>
        <v/>
      </c>
      <c r="O341" s="48">
        <f>IF(M341="","⏳ PENDENTE",IF(M341&gt;=G341,"✅ PAGO","⚠️ PARCIAL"))</f>
        <v/>
      </c>
    </row>
    <row r="342" ht="19" customHeight="1">
      <c r="A342" s="5" t="n"/>
      <c r="B342" s="36" t="n">
        <v>329</v>
      </c>
      <c r="C342" s="37">
        <f>IFERROR(TEXT(EDATE(DATE(VALUE(RIGHT(D5,4)),MATCH(LEFT(D5,3),{"Jan","Fev","Mar","Abr","Mai","Jun","Jul","Ago","Set","Out","Nov","Dez"},0),1),328),"mmm/yyyy")</f>
        <v/>
      </c>
      <c r="D342" s="38">
        <f>IFERROR(EDATE(DATE(VALUE(RIGHT(D5,4)),MATCH(LEFT(D5,3),{"Jan","Fev","Mar","Abr","Mai","Jun","Jul","Ago","Set","Out","Nov","Dez"},0),5),328),"—")</f>
        <v/>
      </c>
      <c r="E342" s="39">
        <f>$H$4</f>
        <v/>
      </c>
      <c r="F342" s="40">
        <f>IFERROR(F341-H341-J341,0)</f>
        <v/>
      </c>
      <c r="G342" s="41">
        <f>IF($H$4="PRICE",$L$4,IF($H$4="SAC",$L$5,0))</f>
        <v/>
      </c>
      <c r="H342" s="42">
        <f>IFERROR(IF($H$4="SAC",$D$4/$D$6,G342-I342-K342),0)</f>
        <v/>
      </c>
      <c r="I342" s="43">
        <f>IFERROR(F342*$D$7,0)</f>
        <v/>
      </c>
      <c r="J342" s="44" t="n"/>
      <c r="K342" s="45">
        <f>IFERROR($H$5,0)</f>
        <v/>
      </c>
      <c r="L342" s="46" t="n"/>
      <c r="M342" s="44" t="n"/>
      <c r="N342" s="47">
        <f>IFERROR(N341+M342,N341)</f>
        <v/>
      </c>
      <c r="O342" s="48">
        <f>IF(M342="","⏳ PENDENTE",IF(M342&gt;=G342,"✅ PAGO","⚠️ PARCIAL"))</f>
        <v/>
      </c>
    </row>
    <row r="343" ht="19" customHeight="1">
      <c r="A343" s="1" t="n"/>
      <c r="B343" s="49" t="n">
        <v>330</v>
      </c>
      <c r="C343" s="50">
        <f>IFERROR(TEXT(EDATE(DATE(VALUE(RIGHT(D5,4)),MATCH(LEFT(D5,3),{"Jan","Fev","Mar","Abr","Mai","Jun","Jul","Ago","Set","Out","Nov","Dez"},0),1),329),"mmm/yyyy")</f>
        <v/>
      </c>
      <c r="D343" s="51">
        <f>IFERROR(EDATE(DATE(VALUE(RIGHT(D5,4)),MATCH(LEFT(D5,3),{"Jan","Fev","Mar","Abr","Mai","Jun","Jul","Ago","Set","Out","Nov","Dez"},0),5),329),"—")</f>
        <v/>
      </c>
      <c r="E343" s="39">
        <f>$H$4</f>
        <v/>
      </c>
      <c r="F343" s="52">
        <f>IFERROR(F342-H342-J342,0)</f>
        <v/>
      </c>
      <c r="G343" s="53">
        <f>IF($H$4="PRICE",$L$4,IF($H$4="SAC",$L$5,0))</f>
        <v/>
      </c>
      <c r="H343" s="54">
        <f>IFERROR(IF($H$4="SAC",$D$4/$D$6,G343-I343-K343),0)</f>
        <v/>
      </c>
      <c r="I343" s="55">
        <f>IFERROR(F343*$D$7,0)</f>
        <v/>
      </c>
      <c r="J343" s="44" t="n"/>
      <c r="K343" s="56">
        <f>IFERROR($H$5,0)</f>
        <v/>
      </c>
      <c r="L343" s="46" t="n"/>
      <c r="M343" s="44" t="n"/>
      <c r="N343" s="47">
        <f>IFERROR(N342+M343,N342)</f>
        <v/>
      </c>
      <c r="O343" s="48">
        <f>IF(M343="","⏳ PENDENTE",IF(M343&gt;=G343,"✅ PAGO","⚠️ PARCIAL"))</f>
        <v/>
      </c>
    </row>
    <row r="344" ht="19" customHeight="1">
      <c r="A344" s="5" t="n"/>
      <c r="B344" s="36" t="n">
        <v>331</v>
      </c>
      <c r="C344" s="37">
        <f>IFERROR(TEXT(EDATE(DATE(VALUE(RIGHT(D5,4)),MATCH(LEFT(D5,3),{"Jan","Fev","Mar","Abr","Mai","Jun","Jul","Ago","Set","Out","Nov","Dez"},0),1),330),"mmm/yyyy")</f>
        <v/>
      </c>
      <c r="D344" s="38">
        <f>IFERROR(EDATE(DATE(VALUE(RIGHT(D5,4)),MATCH(LEFT(D5,3),{"Jan","Fev","Mar","Abr","Mai","Jun","Jul","Ago","Set","Out","Nov","Dez"},0),5),330),"—")</f>
        <v/>
      </c>
      <c r="E344" s="39">
        <f>$H$4</f>
        <v/>
      </c>
      <c r="F344" s="40">
        <f>IFERROR(F343-H343-J343,0)</f>
        <v/>
      </c>
      <c r="G344" s="41">
        <f>IF($H$4="PRICE",$L$4,IF($H$4="SAC",$L$5,0))</f>
        <v/>
      </c>
      <c r="H344" s="42">
        <f>IFERROR(IF($H$4="SAC",$D$4/$D$6,G344-I344-K344),0)</f>
        <v/>
      </c>
      <c r="I344" s="43">
        <f>IFERROR(F344*$D$7,0)</f>
        <v/>
      </c>
      <c r="J344" s="44" t="n"/>
      <c r="K344" s="45">
        <f>IFERROR($H$5,0)</f>
        <v/>
      </c>
      <c r="L344" s="46" t="n"/>
      <c r="M344" s="44" t="n"/>
      <c r="N344" s="47">
        <f>IFERROR(N343+M344,N343)</f>
        <v/>
      </c>
      <c r="O344" s="48">
        <f>IF(M344="","⏳ PENDENTE",IF(M344&gt;=G344,"✅ PAGO","⚠️ PARCIAL"))</f>
        <v/>
      </c>
    </row>
    <row r="345" ht="19" customHeight="1">
      <c r="A345" s="1" t="n"/>
      <c r="B345" s="49" t="n">
        <v>332</v>
      </c>
      <c r="C345" s="50">
        <f>IFERROR(TEXT(EDATE(DATE(VALUE(RIGHT(D5,4)),MATCH(LEFT(D5,3),{"Jan","Fev","Mar","Abr","Mai","Jun","Jul","Ago","Set","Out","Nov","Dez"},0),1),331),"mmm/yyyy")</f>
        <v/>
      </c>
      <c r="D345" s="51">
        <f>IFERROR(EDATE(DATE(VALUE(RIGHT(D5,4)),MATCH(LEFT(D5,3),{"Jan","Fev","Mar","Abr","Mai","Jun","Jul","Ago","Set","Out","Nov","Dez"},0),5),331),"—")</f>
        <v/>
      </c>
      <c r="E345" s="39">
        <f>$H$4</f>
        <v/>
      </c>
      <c r="F345" s="52">
        <f>IFERROR(F344-H344-J344,0)</f>
        <v/>
      </c>
      <c r="G345" s="53">
        <f>IF($H$4="PRICE",$L$4,IF($H$4="SAC",$L$5,0))</f>
        <v/>
      </c>
      <c r="H345" s="54">
        <f>IFERROR(IF($H$4="SAC",$D$4/$D$6,G345-I345-K345),0)</f>
        <v/>
      </c>
      <c r="I345" s="55">
        <f>IFERROR(F345*$D$7,0)</f>
        <v/>
      </c>
      <c r="J345" s="44" t="n"/>
      <c r="K345" s="56">
        <f>IFERROR($H$5,0)</f>
        <v/>
      </c>
      <c r="L345" s="46" t="n"/>
      <c r="M345" s="44" t="n"/>
      <c r="N345" s="47">
        <f>IFERROR(N344+M345,N344)</f>
        <v/>
      </c>
      <c r="O345" s="48">
        <f>IF(M345="","⏳ PENDENTE",IF(M345&gt;=G345,"✅ PAGO","⚠️ PARCIAL"))</f>
        <v/>
      </c>
    </row>
    <row r="346" ht="19" customHeight="1">
      <c r="A346" s="5" t="n"/>
      <c r="B346" s="36" t="n">
        <v>333</v>
      </c>
      <c r="C346" s="37">
        <f>IFERROR(TEXT(EDATE(DATE(VALUE(RIGHT(D5,4)),MATCH(LEFT(D5,3),{"Jan","Fev","Mar","Abr","Mai","Jun","Jul","Ago","Set","Out","Nov","Dez"},0),1),332),"mmm/yyyy")</f>
        <v/>
      </c>
      <c r="D346" s="38">
        <f>IFERROR(EDATE(DATE(VALUE(RIGHT(D5,4)),MATCH(LEFT(D5,3),{"Jan","Fev","Mar","Abr","Mai","Jun","Jul","Ago","Set","Out","Nov","Dez"},0),5),332),"—")</f>
        <v/>
      </c>
      <c r="E346" s="39">
        <f>$H$4</f>
        <v/>
      </c>
      <c r="F346" s="40">
        <f>IFERROR(F345-H345-J345,0)</f>
        <v/>
      </c>
      <c r="G346" s="41">
        <f>IF($H$4="PRICE",$L$4,IF($H$4="SAC",$L$5,0))</f>
        <v/>
      </c>
      <c r="H346" s="42">
        <f>IFERROR(IF($H$4="SAC",$D$4/$D$6,G346-I346-K346),0)</f>
        <v/>
      </c>
      <c r="I346" s="43">
        <f>IFERROR(F346*$D$7,0)</f>
        <v/>
      </c>
      <c r="J346" s="44" t="n"/>
      <c r="K346" s="45">
        <f>IFERROR($H$5,0)</f>
        <v/>
      </c>
      <c r="L346" s="46" t="n"/>
      <c r="M346" s="44" t="n"/>
      <c r="N346" s="47">
        <f>IFERROR(N345+M346,N345)</f>
        <v/>
      </c>
      <c r="O346" s="48">
        <f>IF(M346="","⏳ PENDENTE",IF(M346&gt;=G346,"✅ PAGO","⚠️ PARCIAL"))</f>
        <v/>
      </c>
    </row>
    <row r="347" ht="19" customHeight="1">
      <c r="A347" s="1" t="n"/>
      <c r="B347" s="49" t="n">
        <v>334</v>
      </c>
      <c r="C347" s="50">
        <f>IFERROR(TEXT(EDATE(DATE(VALUE(RIGHT(D5,4)),MATCH(LEFT(D5,3),{"Jan","Fev","Mar","Abr","Mai","Jun","Jul","Ago","Set","Out","Nov","Dez"},0),1),333),"mmm/yyyy")</f>
        <v/>
      </c>
      <c r="D347" s="51">
        <f>IFERROR(EDATE(DATE(VALUE(RIGHT(D5,4)),MATCH(LEFT(D5,3),{"Jan","Fev","Mar","Abr","Mai","Jun","Jul","Ago","Set","Out","Nov","Dez"},0),5),333),"—")</f>
        <v/>
      </c>
      <c r="E347" s="39">
        <f>$H$4</f>
        <v/>
      </c>
      <c r="F347" s="52">
        <f>IFERROR(F346-H346-J346,0)</f>
        <v/>
      </c>
      <c r="G347" s="53">
        <f>IF($H$4="PRICE",$L$4,IF($H$4="SAC",$L$5,0))</f>
        <v/>
      </c>
      <c r="H347" s="54">
        <f>IFERROR(IF($H$4="SAC",$D$4/$D$6,G347-I347-K347),0)</f>
        <v/>
      </c>
      <c r="I347" s="55">
        <f>IFERROR(F347*$D$7,0)</f>
        <v/>
      </c>
      <c r="J347" s="44" t="n"/>
      <c r="K347" s="56">
        <f>IFERROR($H$5,0)</f>
        <v/>
      </c>
      <c r="L347" s="46" t="n"/>
      <c r="M347" s="44" t="n"/>
      <c r="N347" s="47">
        <f>IFERROR(N346+M347,N346)</f>
        <v/>
      </c>
      <c r="O347" s="48">
        <f>IF(M347="","⏳ PENDENTE",IF(M347&gt;=G347,"✅ PAGO","⚠️ PARCIAL"))</f>
        <v/>
      </c>
    </row>
    <row r="348" ht="19" customHeight="1">
      <c r="A348" s="5" t="n"/>
      <c r="B348" s="36" t="n">
        <v>335</v>
      </c>
      <c r="C348" s="37">
        <f>IFERROR(TEXT(EDATE(DATE(VALUE(RIGHT(D5,4)),MATCH(LEFT(D5,3),{"Jan","Fev","Mar","Abr","Mai","Jun","Jul","Ago","Set","Out","Nov","Dez"},0),1),334),"mmm/yyyy")</f>
        <v/>
      </c>
      <c r="D348" s="38">
        <f>IFERROR(EDATE(DATE(VALUE(RIGHT(D5,4)),MATCH(LEFT(D5,3),{"Jan","Fev","Mar","Abr","Mai","Jun","Jul","Ago","Set","Out","Nov","Dez"},0),5),334),"—")</f>
        <v/>
      </c>
      <c r="E348" s="39">
        <f>$H$4</f>
        <v/>
      </c>
      <c r="F348" s="40">
        <f>IFERROR(F347-H347-J347,0)</f>
        <v/>
      </c>
      <c r="G348" s="41">
        <f>IF($H$4="PRICE",$L$4,IF($H$4="SAC",$L$5,0))</f>
        <v/>
      </c>
      <c r="H348" s="42">
        <f>IFERROR(IF($H$4="SAC",$D$4/$D$6,G348-I348-K348),0)</f>
        <v/>
      </c>
      <c r="I348" s="43">
        <f>IFERROR(F348*$D$7,0)</f>
        <v/>
      </c>
      <c r="J348" s="44" t="n"/>
      <c r="K348" s="45">
        <f>IFERROR($H$5,0)</f>
        <v/>
      </c>
      <c r="L348" s="46" t="n"/>
      <c r="M348" s="44" t="n"/>
      <c r="N348" s="47">
        <f>IFERROR(N347+M348,N347)</f>
        <v/>
      </c>
      <c r="O348" s="48">
        <f>IF(M348="","⏳ PENDENTE",IF(M348&gt;=G348,"✅ PAGO","⚠️ PARCIAL"))</f>
        <v/>
      </c>
    </row>
    <row r="349" ht="19" customHeight="1">
      <c r="A349" s="1" t="n"/>
      <c r="B349" s="49" t="n">
        <v>336</v>
      </c>
      <c r="C349" s="50">
        <f>IFERROR(TEXT(EDATE(DATE(VALUE(RIGHT(D5,4)),MATCH(LEFT(D5,3),{"Jan","Fev","Mar","Abr","Mai","Jun","Jul","Ago","Set","Out","Nov","Dez"},0),1),335),"mmm/yyyy")</f>
        <v/>
      </c>
      <c r="D349" s="51">
        <f>IFERROR(EDATE(DATE(VALUE(RIGHT(D5,4)),MATCH(LEFT(D5,3),{"Jan","Fev","Mar","Abr","Mai","Jun","Jul","Ago","Set","Out","Nov","Dez"},0),5),335),"—")</f>
        <v/>
      </c>
      <c r="E349" s="39">
        <f>$H$4</f>
        <v/>
      </c>
      <c r="F349" s="52">
        <f>IFERROR(F348-H348-J348,0)</f>
        <v/>
      </c>
      <c r="G349" s="53">
        <f>IF($H$4="PRICE",$L$4,IF($H$4="SAC",$L$5,0))</f>
        <v/>
      </c>
      <c r="H349" s="54">
        <f>IFERROR(IF($H$4="SAC",$D$4/$D$6,G349-I349-K349),0)</f>
        <v/>
      </c>
      <c r="I349" s="55">
        <f>IFERROR(F349*$D$7,0)</f>
        <v/>
      </c>
      <c r="J349" s="44" t="n"/>
      <c r="K349" s="56">
        <f>IFERROR($H$5,0)</f>
        <v/>
      </c>
      <c r="L349" s="46" t="n"/>
      <c r="M349" s="44" t="n"/>
      <c r="N349" s="47">
        <f>IFERROR(N348+M349,N348)</f>
        <v/>
      </c>
      <c r="O349" s="48">
        <f>IF(M349="","⏳ PENDENTE",IF(M349&gt;=G349,"✅ PAGO","⚠️ PARCIAL"))</f>
        <v/>
      </c>
    </row>
    <row r="350" ht="19" customHeight="1">
      <c r="A350" s="5" t="n"/>
      <c r="B350" s="36" t="n">
        <v>337</v>
      </c>
      <c r="C350" s="37">
        <f>IFERROR(TEXT(EDATE(DATE(VALUE(RIGHT(D5,4)),MATCH(LEFT(D5,3),{"Jan","Fev","Mar","Abr","Mai","Jun","Jul","Ago","Set","Out","Nov","Dez"},0),1),336),"mmm/yyyy")</f>
        <v/>
      </c>
      <c r="D350" s="38">
        <f>IFERROR(EDATE(DATE(VALUE(RIGHT(D5,4)),MATCH(LEFT(D5,3),{"Jan","Fev","Mar","Abr","Mai","Jun","Jul","Ago","Set","Out","Nov","Dez"},0),5),336),"—")</f>
        <v/>
      </c>
      <c r="E350" s="39">
        <f>$H$4</f>
        <v/>
      </c>
      <c r="F350" s="40">
        <f>IFERROR(F349-H349-J349,0)</f>
        <v/>
      </c>
      <c r="G350" s="41">
        <f>IF($H$4="PRICE",$L$4,IF($H$4="SAC",$L$5,0))</f>
        <v/>
      </c>
      <c r="H350" s="42">
        <f>IFERROR(IF($H$4="SAC",$D$4/$D$6,G350-I350-K350),0)</f>
        <v/>
      </c>
      <c r="I350" s="43">
        <f>IFERROR(F350*$D$7,0)</f>
        <v/>
      </c>
      <c r="J350" s="44" t="n"/>
      <c r="K350" s="45">
        <f>IFERROR($H$5,0)</f>
        <v/>
      </c>
      <c r="L350" s="46" t="n"/>
      <c r="M350" s="44" t="n"/>
      <c r="N350" s="47">
        <f>IFERROR(N349+M350,N349)</f>
        <v/>
      </c>
      <c r="O350" s="48">
        <f>IF(M350="","⏳ PENDENTE",IF(M350&gt;=G350,"✅ PAGO","⚠️ PARCIAL"))</f>
        <v/>
      </c>
    </row>
    <row r="351" ht="19" customHeight="1">
      <c r="A351" s="1" t="n"/>
      <c r="B351" s="49" t="n">
        <v>338</v>
      </c>
      <c r="C351" s="50">
        <f>IFERROR(TEXT(EDATE(DATE(VALUE(RIGHT(D5,4)),MATCH(LEFT(D5,3),{"Jan","Fev","Mar","Abr","Mai","Jun","Jul","Ago","Set","Out","Nov","Dez"},0),1),337),"mmm/yyyy")</f>
        <v/>
      </c>
      <c r="D351" s="51">
        <f>IFERROR(EDATE(DATE(VALUE(RIGHT(D5,4)),MATCH(LEFT(D5,3),{"Jan","Fev","Mar","Abr","Mai","Jun","Jul","Ago","Set","Out","Nov","Dez"},0),5),337),"—")</f>
        <v/>
      </c>
      <c r="E351" s="39">
        <f>$H$4</f>
        <v/>
      </c>
      <c r="F351" s="52">
        <f>IFERROR(F350-H350-J350,0)</f>
        <v/>
      </c>
      <c r="G351" s="53">
        <f>IF($H$4="PRICE",$L$4,IF($H$4="SAC",$L$5,0))</f>
        <v/>
      </c>
      <c r="H351" s="54">
        <f>IFERROR(IF($H$4="SAC",$D$4/$D$6,G351-I351-K351),0)</f>
        <v/>
      </c>
      <c r="I351" s="55">
        <f>IFERROR(F351*$D$7,0)</f>
        <v/>
      </c>
      <c r="J351" s="44" t="n"/>
      <c r="K351" s="56">
        <f>IFERROR($H$5,0)</f>
        <v/>
      </c>
      <c r="L351" s="46" t="n"/>
      <c r="M351" s="44" t="n"/>
      <c r="N351" s="47">
        <f>IFERROR(N350+M351,N350)</f>
        <v/>
      </c>
      <c r="O351" s="48">
        <f>IF(M351="","⏳ PENDENTE",IF(M351&gt;=G351,"✅ PAGO","⚠️ PARCIAL"))</f>
        <v/>
      </c>
    </row>
    <row r="352" ht="19" customHeight="1">
      <c r="A352" s="5" t="n"/>
      <c r="B352" s="36" t="n">
        <v>339</v>
      </c>
      <c r="C352" s="37">
        <f>IFERROR(TEXT(EDATE(DATE(VALUE(RIGHT(D5,4)),MATCH(LEFT(D5,3),{"Jan","Fev","Mar","Abr","Mai","Jun","Jul","Ago","Set","Out","Nov","Dez"},0),1),338),"mmm/yyyy")</f>
        <v/>
      </c>
      <c r="D352" s="38">
        <f>IFERROR(EDATE(DATE(VALUE(RIGHT(D5,4)),MATCH(LEFT(D5,3),{"Jan","Fev","Mar","Abr","Mai","Jun","Jul","Ago","Set","Out","Nov","Dez"},0),5),338),"—")</f>
        <v/>
      </c>
      <c r="E352" s="39">
        <f>$H$4</f>
        <v/>
      </c>
      <c r="F352" s="40">
        <f>IFERROR(F351-H351-J351,0)</f>
        <v/>
      </c>
      <c r="G352" s="41">
        <f>IF($H$4="PRICE",$L$4,IF($H$4="SAC",$L$5,0))</f>
        <v/>
      </c>
      <c r="H352" s="42">
        <f>IFERROR(IF($H$4="SAC",$D$4/$D$6,G352-I352-K352),0)</f>
        <v/>
      </c>
      <c r="I352" s="43">
        <f>IFERROR(F352*$D$7,0)</f>
        <v/>
      </c>
      <c r="J352" s="44" t="n"/>
      <c r="K352" s="45">
        <f>IFERROR($H$5,0)</f>
        <v/>
      </c>
      <c r="L352" s="46" t="n"/>
      <c r="M352" s="44" t="n"/>
      <c r="N352" s="47">
        <f>IFERROR(N351+M352,N351)</f>
        <v/>
      </c>
      <c r="O352" s="48">
        <f>IF(M352="","⏳ PENDENTE",IF(M352&gt;=G352,"✅ PAGO","⚠️ PARCIAL"))</f>
        <v/>
      </c>
    </row>
    <row r="353" ht="19" customHeight="1">
      <c r="A353" s="1" t="n"/>
      <c r="B353" s="49" t="n">
        <v>340</v>
      </c>
      <c r="C353" s="50">
        <f>IFERROR(TEXT(EDATE(DATE(VALUE(RIGHT(D5,4)),MATCH(LEFT(D5,3),{"Jan","Fev","Mar","Abr","Mai","Jun","Jul","Ago","Set","Out","Nov","Dez"},0),1),339),"mmm/yyyy")</f>
        <v/>
      </c>
      <c r="D353" s="51">
        <f>IFERROR(EDATE(DATE(VALUE(RIGHT(D5,4)),MATCH(LEFT(D5,3),{"Jan","Fev","Mar","Abr","Mai","Jun","Jul","Ago","Set","Out","Nov","Dez"},0),5),339),"—")</f>
        <v/>
      </c>
      <c r="E353" s="39">
        <f>$H$4</f>
        <v/>
      </c>
      <c r="F353" s="52">
        <f>IFERROR(F352-H352-J352,0)</f>
        <v/>
      </c>
      <c r="G353" s="53">
        <f>IF($H$4="PRICE",$L$4,IF($H$4="SAC",$L$5,0))</f>
        <v/>
      </c>
      <c r="H353" s="54">
        <f>IFERROR(IF($H$4="SAC",$D$4/$D$6,G353-I353-K353),0)</f>
        <v/>
      </c>
      <c r="I353" s="55">
        <f>IFERROR(F353*$D$7,0)</f>
        <v/>
      </c>
      <c r="J353" s="44" t="n"/>
      <c r="K353" s="56">
        <f>IFERROR($H$5,0)</f>
        <v/>
      </c>
      <c r="L353" s="46" t="n"/>
      <c r="M353" s="44" t="n"/>
      <c r="N353" s="47">
        <f>IFERROR(N352+M353,N352)</f>
        <v/>
      </c>
      <c r="O353" s="48">
        <f>IF(M353="","⏳ PENDENTE",IF(M353&gt;=G353,"✅ PAGO","⚠️ PARCIAL"))</f>
        <v/>
      </c>
    </row>
    <row r="354" ht="19" customHeight="1">
      <c r="A354" s="5" t="n"/>
      <c r="B354" s="36" t="n">
        <v>341</v>
      </c>
      <c r="C354" s="37">
        <f>IFERROR(TEXT(EDATE(DATE(VALUE(RIGHT(D5,4)),MATCH(LEFT(D5,3),{"Jan","Fev","Mar","Abr","Mai","Jun","Jul","Ago","Set","Out","Nov","Dez"},0),1),340),"mmm/yyyy")</f>
        <v/>
      </c>
      <c r="D354" s="38">
        <f>IFERROR(EDATE(DATE(VALUE(RIGHT(D5,4)),MATCH(LEFT(D5,3),{"Jan","Fev","Mar","Abr","Mai","Jun","Jul","Ago","Set","Out","Nov","Dez"},0),5),340),"—")</f>
        <v/>
      </c>
      <c r="E354" s="39">
        <f>$H$4</f>
        <v/>
      </c>
      <c r="F354" s="40">
        <f>IFERROR(F353-H353-J353,0)</f>
        <v/>
      </c>
      <c r="G354" s="41">
        <f>IF($H$4="PRICE",$L$4,IF($H$4="SAC",$L$5,0))</f>
        <v/>
      </c>
      <c r="H354" s="42">
        <f>IFERROR(IF($H$4="SAC",$D$4/$D$6,G354-I354-K354),0)</f>
        <v/>
      </c>
      <c r="I354" s="43">
        <f>IFERROR(F354*$D$7,0)</f>
        <v/>
      </c>
      <c r="J354" s="44" t="n"/>
      <c r="K354" s="45">
        <f>IFERROR($H$5,0)</f>
        <v/>
      </c>
      <c r="L354" s="46" t="n"/>
      <c r="M354" s="44" t="n"/>
      <c r="N354" s="47">
        <f>IFERROR(N353+M354,N353)</f>
        <v/>
      </c>
      <c r="O354" s="48">
        <f>IF(M354="","⏳ PENDENTE",IF(M354&gt;=G354,"✅ PAGO","⚠️ PARCIAL"))</f>
        <v/>
      </c>
    </row>
    <row r="355" ht="19" customHeight="1">
      <c r="A355" s="1" t="n"/>
      <c r="B355" s="49" t="n">
        <v>342</v>
      </c>
      <c r="C355" s="50">
        <f>IFERROR(TEXT(EDATE(DATE(VALUE(RIGHT(D5,4)),MATCH(LEFT(D5,3),{"Jan","Fev","Mar","Abr","Mai","Jun","Jul","Ago","Set","Out","Nov","Dez"},0),1),341),"mmm/yyyy")</f>
        <v/>
      </c>
      <c r="D355" s="51">
        <f>IFERROR(EDATE(DATE(VALUE(RIGHT(D5,4)),MATCH(LEFT(D5,3),{"Jan","Fev","Mar","Abr","Mai","Jun","Jul","Ago","Set","Out","Nov","Dez"},0),5),341),"—")</f>
        <v/>
      </c>
      <c r="E355" s="39">
        <f>$H$4</f>
        <v/>
      </c>
      <c r="F355" s="52">
        <f>IFERROR(F354-H354-J354,0)</f>
        <v/>
      </c>
      <c r="G355" s="53">
        <f>IF($H$4="PRICE",$L$4,IF($H$4="SAC",$L$5,0))</f>
        <v/>
      </c>
      <c r="H355" s="54">
        <f>IFERROR(IF($H$4="SAC",$D$4/$D$6,G355-I355-K355),0)</f>
        <v/>
      </c>
      <c r="I355" s="55">
        <f>IFERROR(F355*$D$7,0)</f>
        <v/>
      </c>
      <c r="J355" s="44" t="n"/>
      <c r="K355" s="56">
        <f>IFERROR($H$5,0)</f>
        <v/>
      </c>
      <c r="L355" s="46" t="n"/>
      <c r="M355" s="44" t="n"/>
      <c r="N355" s="47">
        <f>IFERROR(N354+M355,N354)</f>
        <v/>
      </c>
      <c r="O355" s="48">
        <f>IF(M355="","⏳ PENDENTE",IF(M355&gt;=G355,"✅ PAGO","⚠️ PARCIAL"))</f>
        <v/>
      </c>
    </row>
    <row r="356" ht="19" customHeight="1">
      <c r="A356" s="5" t="n"/>
      <c r="B356" s="36" t="n">
        <v>343</v>
      </c>
      <c r="C356" s="37">
        <f>IFERROR(TEXT(EDATE(DATE(VALUE(RIGHT(D5,4)),MATCH(LEFT(D5,3),{"Jan","Fev","Mar","Abr","Mai","Jun","Jul","Ago","Set","Out","Nov","Dez"},0),1),342),"mmm/yyyy")</f>
        <v/>
      </c>
      <c r="D356" s="38">
        <f>IFERROR(EDATE(DATE(VALUE(RIGHT(D5,4)),MATCH(LEFT(D5,3),{"Jan","Fev","Mar","Abr","Mai","Jun","Jul","Ago","Set","Out","Nov","Dez"},0),5),342),"—")</f>
        <v/>
      </c>
      <c r="E356" s="39">
        <f>$H$4</f>
        <v/>
      </c>
      <c r="F356" s="40">
        <f>IFERROR(F355-H355-J355,0)</f>
        <v/>
      </c>
      <c r="G356" s="41">
        <f>IF($H$4="PRICE",$L$4,IF($H$4="SAC",$L$5,0))</f>
        <v/>
      </c>
      <c r="H356" s="42">
        <f>IFERROR(IF($H$4="SAC",$D$4/$D$6,G356-I356-K356),0)</f>
        <v/>
      </c>
      <c r="I356" s="43">
        <f>IFERROR(F356*$D$7,0)</f>
        <v/>
      </c>
      <c r="J356" s="44" t="n"/>
      <c r="K356" s="45">
        <f>IFERROR($H$5,0)</f>
        <v/>
      </c>
      <c r="L356" s="46" t="n"/>
      <c r="M356" s="44" t="n"/>
      <c r="N356" s="47">
        <f>IFERROR(N355+M356,N355)</f>
        <v/>
      </c>
      <c r="O356" s="48">
        <f>IF(M356="","⏳ PENDENTE",IF(M356&gt;=G356,"✅ PAGO","⚠️ PARCIAL"))</f>
        <v/>
      </c>
    </row>
    <row r="357" ht="19" customHeight="1">
      <c r="A357" s="1" t="n"/>
      <c r="B357" s="49" t="n">
        <v>344</v>
      </c>
      <c r="C357" s="50">
        <f>IFERROR(TEXT(EDATE(DATE(VALUE(RIGHT(D5,4)),MATCH(LEFT(D5,3),{"Jan","Fev","Mar","Abr","Mai","Jun","Jul","Ago","Set","Out","Nov","Dez"},0),1),343),"mmm/yyyy")</f>
        <v/>
      </c>
      <c r="D357" s="51">
        <f>IFERROR(EDATE(DATE(VALUE(RIGHT(D5,4)),MATCH(LEFT(D5,3),{"Jan","Fev","Mar","Abr","Mai","Jun","Jul","Ago","Set","Out","Nov","Dez"},0),5),343),"—")</f>
        <v/>
      </c>
      <c r="E357" s="39">
        <f>$H$4</f>
        <v/>
      </c>
      <c r="F357" s="52">
        <f>IFERROR(F356-H356-J356,0)</f>
        <v/>
      </c>
      <c r="G357" s="53">
        <f>IF($H$4="PRICE",$L$4,IF($H$4="SAC",$L$5,0))</f>
        <v/>
      </c>
      <c r="H357" s="54">
        <f>IFERROR(IF($H$4="SAC",$D$4/$D$6,G357-I357-K357),0)</f>
        <v/>
      </c>
      <c r="I357" s="55">
        <f>IFERROR(F357*$D$7,0)</f>
        <v/>
      </c>
      <c r="J357" s="44" t="n"/>
      <c r="K357" s="56">
        <f>IFERROR($H$5,0)</f>
        <v/>
      </c>
      <c r="L357" s="46" t="n"/>
      <c r="M357" s="44" t="n"/>
      <c r="N357" s="47">
        <f>IFERROR(N356+M357,N356)</f>
        <v/>
      </c>
      <c r="O357" s="48">
        <f>IF(M357="","⏳ PENDENTE",IF(M357&gt;=G357,"✅ PAGO","⚠️ PARCIAL"))</f>
        <v/>
      </c>
    </row>
    <row r="358" ht="19" customHeight="1">
      <c r="A358" s="5" t="n"/>
      <c r="B358" s="36" t="n">
        <v>345</v>
      </c>
      <c r="C358" s="37">
        <f>IFERROR(TEXT(EDATE(DATE(VALUE(RIGHT(D5,4)),MATCH(LEFT(D5,3),{"Jan","Fev","Mar","Abr","Mai","Jun","Jul","Ago","Set","Out","Nov","Dez"},0),1),344),"mmm/yyyy")</f>
        <v/>
      </c>
      <c r="D358" s="38">
        <f>IFERROR(EDATE(DATE(VALUE(RIGHT(D5,4)),MATCH(LEFT(D5,3),{"Jan","Fev","Mar","Abr","Mai","Jun","Jul","Ago","Set","Out","Nov","Dez"},0),5),344),"—")</f>
        <v/>
      </c>
      <c r="E358" s="39">
        <f>$H$4</f>
        <v/>
      </c>
      <c r="F358" s="40">
        <f>IFERROR(F357-H357-J357,0)</f>
        <v/>
      </c>
      <c r="G358" s="41">
        <f>IF($H$4="PRICE",$L$4,IF($H$4="SAC",$L$5,0))</f>
        <v/>
      </c>
      <c r="H358" s="42">
        <f>IFERROR(IF($H$4="SAC",$D$4/$D$6,G358-I358-K358),0)</f>
        <v/>
      </c>
      <c r="I358" s="43">
        <f>IFERROR(F358*$D$7,0)</f>
        <v/>
      </c>
      <c r="J358" s="44" t="n"/>
      <c r="K358" s="45">
        <f>IFERROR($H$5,0)</f>
        <v/>
      </c>
      <c r="L358" s="46" t="n"/>
      <c r="M358" s="44" t="n"/>
      <c r="N358" s="47">
        <f>IFERROR(N357+M358,N357)</f>
        <v/>
      </c>
      <c r="O358" s="48">
        <f>IF(M358="","⏳ PENDENTE",IF(M358&gt;=G358,"✅ PAGO","⚠️ PARCIAL"))</f>
        <v/>
      </c>
    </row>
    <row r="359" ht="19" customHeight="1">
      <c r="A359" s="1" t="n"/>
      <c r="B359" s="49" t="n">
        <v>346</v>
      </c>
      <c r="C359" s="50">
        <f>IFERROR(TEXT(EDATE(DATE(VALUE(RIGHT(D5,4)),MATCH(LEFT(D5,3),{"Jan","Fev","Mar","Abr","Mai","Jun","Jul","Ago","Set","Out","Nov","Dez"},0),1),345),"mmm/yyyy")</f>
        <v/>
      </c>
      <c r="D359" s="51">
        <f>IFERROR(EDATE(DATE(VALUE(RIGHT(D5,4)),MATCH(LEFT(D5,3),{"Jan","Fev","Mar","Abr","Mai","Jun","Jul","Ago","Set","Out","Nov","Dez"},0),5),345),"—")</f>
        <v/>
      </c>
      <c r="E359" s="39">
        <f>$H$4</f>
        <v/>
      </c>
      <c r="F359" s="52">
        <f>IFERROR(F358-H358-J358,0)</f>
        <v/>
      </c>
      <c r="G359" s="53">
        <f>IF($H$4="PRICE",$L$4,IF($H$4="SAC",$L$5,0))</f>
        <v/>
      </c>
      <c r="H359" s="54">
        <f>IFERROR(IF($H$4="SAC",$D$4/$D$6,G359-I359-K359),0)</f>
        <v/>
      </c>
      <c r="I359" s="55">
        <f>IFERROR(F359*$D$7,0)</f>
        <v/>
      </c>
      <c r="J359" s="44" t="n"/>
      <c r="K359" s="56">
        <f>IFERROR($H$5,0)</f>
        <v/>
      </c>
      <c r="L359" s="46" t="n"/>
      <c r="M359" s="44" t="n"/>
      <c r="N359" s="47">
        <f>IFERROR(N358+M359,N358)</f>
        <v/>
      </c>
      <c r="O359" s="48">
        <f>IF(M359="","⏳ PENDENTE",IF(M359&gt;=G359,"✅ PAGO","⚠️ PARCIAL"))</f>
        <v/>
      </c>
    </row>
    <row r="360" ht="19" customHeight="1">
      <c r="A360" s="5" t="n"/>
      <c r="B360" s="36" t="n">
        <v>347</v>
      </c>
      <c r="C360" s="37">
        <f>IFERROR(TEXT(EDATE(DATE(VALUE(RIGHT(D5,4)),MATCH(LEFT(D5,3),{"Jan","Fev","Mar","Abr","Mai","Jun","Jul","Ago","Set","Out","Nov","Dez"},0),1),346),"mmm/yyyy")</f>
        <v/>
      </c>
      <c r="D360" s="38">
        <f>IFERROR(EDATE(DATE(VALUE(RIGHT(D5,4)),MATCH(LEFT(D5,3),{"Jan","Fev","Mar","Abr","Mai","Jun","Jul","Ago","Set","Out","Nov","Dez"},0),5),346),"—")</f>
        <v/>
      </c>
      <c r="E360" s="39">
        <f>$H$4</f>
        <v/>
      </c>
      <c r="F360" s="40">
        <f>IFERROR(F359-H359-J359,0)</f>
        <v/>
      </c>
      <c r="G360" s="41">
        <f>IF($H$4="PRICE",$L$4,IF($H$4="SAC",$L$5,0))</f>
        <v/>
      </c>
      <c r="H360" s="42">
        <f>IFERROR(IF($H$4="SAC",$D$4/$D$6,G360-I360-K360),0)</f>
        <v/>
      </c>
      <c r="I360" s="43">
        <f>IFERROR(F360*$D$7,0)</f>
        <v/>
      </c>
      <c r="J360" s="44" t="n"/>
      <c r="K360" s="45">
        <f>IFERROR($H$5,0)</f>
        <v/>
      </c>
      <c r="L360" s="46" t="n"/>
      <c r="M360" s="44" t="n"/>
      <c r="N360" s="47">
        <f>IFERROR(N359+M360,N359)</f>
        <v/>
      </c>
      <c r="O360" s="48">
        <f>IF(M360="","⏳ PENDENTE",IF(M360&gt;=G360,"✅ PAGO","⚠️ PARCIAL"))</f>
        <v/>
      </c>
    </row>
    <row r="361" ht="19" customHeight="1">
      <c r="A361" s="1" t="n"/>
      <c r="B361" s="49" t="n">
        <v>348</v>
      </c>
      <c r="C361" s="50">
        <f>IFERROR(TEXT(EDATE(DATE(VALUE(RIGHT(D5,4)),MATCH(LEFT(D5,3),{"Jan","Fev","Mar","Abr","Mai","Jun","Jul","Ago","Set","Out","Nov","Dez"},0),1),347),"mmm/yyyy")</f>
        <v/>
      </c>
      <c r="D361" s="51">
        <f>IFERROR(EDATE(DATE(VALUE(RIGHT(D5,4)),MATCH(LEFT(D5,3),{"Jan","Fev","Mar","Abr","Mai","Jun","Jul","Ago","Set","Out","Nov","Dez"},0),5),347),"—")</f>
        <v/>
      </c>
      <c r="E361" s="39">
        <f>$H$4</f>
        <v/>
      </c>
      <c r="F361" s="52">
        <f>IFERROR(F360-H360-J360,0)</f>
        <v/>
      </c>
      <c r="G361" s="53">
        <f>IF($H$4="PRICE",$L$4,IF($H$4="SAC",$L$5,0))</f>
        <v/>
      </c>
      <c r="H361" s="54">
        <f>IFERROR(IF($H$4="SAC",$D$4/$D$6,G361-I361-K361),0)</f>
        <v/>
      </c>
      <c r="I361" s="55">
        <f>IFERROR(F361*$D$7,0)</f>
        <v/>
      </c>
      <c r="J361" s="44" t="n"/>
      <c r="K361" s="56">
        <f>IFERROR($H$5,0)</f>
        <v/>
      </c>
      <c r="L361" s="46" t="n"/>
      <c r="M361" s="44" t="n"/>
      <c r="N361" s="47">
        <f>IFERROR(N360+M361,N360)</f>
        <v/>
      </c>
      <c r="O361" s="48">
        <f>IF(M361="","⏳ PENDENTE",IF(M361&gt;=G361,"✅ PAGO","⚠️ PARCIAL"))</f>
        <v/>
      </c>
    </row>
    <row r="362" ht="19" customHeight="1">
      <c r="A362" s="5" t="n"/>
      <c r="B362" s="36" t="n">
        <v>349</v>
      </c>
      <c r="C362" s="37">
        <f>IFERROR(TEXT(EDATE(DATE(VALUE(RIGHT(D5,4)),MATCH(LEFT(D5,3),{"Jan","Fev","Mar","Abr","Mai","Jun","Jul","Ago","Set","Out","Nov","Dez"},0),1),348),"mmm/yyyy")</f>
        <v/>
      </c>
      <c r="D362" s="38">
        <f>IFERROR(EDATE(DATE(VALUE(RIGHT(D5,4)),MATCH(LEFT(D5,3),{"Jan","Fev","Mar","Abr","Mai","Jun","Jul","Ago","Set","Out","Nov","Dez"},0),5),348),"—")</f>
        <v/>
      </c>
      <c r="E362" s="39">
        <f>$H$4</f>
        <v/>
      </c>
      <c r="F362" s="40">
        <f>IFERROR(F361-H361-J361,0)</f>
        <v/>
      </c>
      <c r="G362" s="41">
        <f>IF($H$4="PRICE",$L$4,IF($H$4="SAC",$L$5,0))</f>
        <v/>
      </c>
      <c r="H362" s="42">
        <f>IFERROR(IF($H$4="SAC",$D$4/$D$6,G362-I362-K362),0)</f>
        <v/>
      </c>
      <c r="I362" s="43">
        <f>IFERROR(F362*$D$7,0)</f>
        <v/>
      </c>
      <c r="J362" s="44" t="n"/>
      <c r="K362" s="45">
        <f>IFERROR($H$5,0)</f>
        <v/>
      </c>
      <c r="L362" s="46" t="n"/>
      <c r="M362" s="44" t="n"/>
      <c r="N362" s="47">
        <f>IFERROR(N361+M362,N361)</f>
        <v/>
      </c>
      <c r="O362" s="48">
        <f>IF(M362="","⏳ PENDENTE",IF(M362&gt;=G362,"✅ PAGO","⚠️ PARCIAL"))</f>
        <v/>
      </c>
    </row>
    <row r="363" ht="19" customHeight="1">
      <c r="A363" s="1" t="n"/>
      <c r="B363" s="49" t="n">
        <v>350</v>
      </c>
      <c r="C363" s="50">
        <f>IFERROR(TEXT(EDATE(DATE(VALUE(RIGHT(D5,4)),MATCH(LEFT(D5,3),{"Jan","Fev","Mar","Abr","Mai","Jun","Jul","Ago","Set","Out","Nov","Dez"},0),1),349),"mmm/yyyy")</f>
        <v/>
      </c>
      <c r="D363" s="51">
        <f>IFERROR(EDATE(DATE(VALUE(RIGHT(D5,4)),MATCH(LEFT(D5,3),{"Jan","Fev","Mar","Abr","Mai","Jun","Jul","Ago","Set","Out","Nov","Dez"},0),5),349),"—")</f>
        <v/>
      </c>
      <c r="E363" s="39">
        <f>$H$4</f>
        <v/>
      </c>
      <c r="F363" s="52">
        <f>IFERROR(F362-H362-J362,0)</f>
        <v/>
      </c>
      <c r="G363" s="53">
        <f>IF($H$4="PRICE",$L$4,IF($H$4="SAC",$L$5,0))</f>
        <v/>
      </c>
      <c r="H363" s="54">
        <f>IFERROR(IF($H$4="SAC",$D$4/$D$6,G363-I363-K363),0)</f>
        <v/>
      </c>
      <c r="I363" s="55">
        <f>IFERROR(F363*$D$7,0)</f>
        <v/>
      </c>
      <c r="J363" s="44" t="n"/>
      <c r="K363" s="56">
        <f>IFERROR($H$5,0)</f>
        <v/>
      </c>
      <c r="L363" s="46" t="n"/>
      <c r="M363" s="44" t="n"/>
      <c r="N363" s="47">
        <f>IFERROR(N362+M363,N362)</f>
        <v/>
      </c>
      <c r="O363" s="48">
        <f>IF(M363="","⏳ PENDENTE",IF(M363&gt;=G363,"✅ PAGO","⚠️ PARCIAL"))</f>
        <v/>
      </c>
    </row>
    <row r="364" ht="19" customHeight="1">
      <c r="A364" s="5" t="n"/>
      <c r="B364" s="36" t="n">
        <v>351</v>
      </c>
      <c r="C364" s="37">
        <f>IFERROR(TEXT(EDATE(DATE(VALUE(RIGHT(D5,4)),MATCH(LEFT(D5,3),{"Jan","Fev","Mar","Abr","Mai","Jun","Jul","Ago","Set","Out","Nov","Dez"},0),1),350),"mmm/yyyy")</f>
        <v/>
      </c>
      <c r="D364" s="38">
        <f>IFERROR(EDATE(DATE(VALUE(RIGHT(D5,4)),MATCH(LEFT(D5,3),{"Jan","Fev","Mar","Abr","Mai","Jun","Jul","Ago","Set","Out","Nov","Dez"},0),5),350),"—")</f>
        <v/>
      </c>
      <c r="E364" s="39">
        <f>$H$4</f>
        <v/>
      </c>
      <c r="F364" s="40">
        <f>IFERROR(F363-H363-J363,0)</f>
        <v/>
      </c>
      <c r="G364" s="41">
        <f>IF($H$4="PRICE",$L$4,IF($H$4="SAC",$L$5,0))</f>
        <v/>
      </c>
      <c r="H364" s="42">
        <f>IFERROR(IF($H$4="SAC",$D$4/$D$6,G364-I364-K364),0)</f>
        <v/>
      </c>
      <c r="I364" s="43">
        <f>IFERROR(F364*$D$7,0)</f>
        <v/>
      </c>
      <c r="J364" s="44" t="n"/>
      <c r="K364" s="45">
        <f>IFERROR($H$5,0)</f>
        <v/>
      </c>
      <c r="L364" s="46" t="n"/>
      <c r="M364" s="44" t="n"/>
      <c r="N364" s="47">
        <f>IFERROR(N363+M364,N363)</f>
        <v/>
      </c>
      <c r="O364" s="48">
        <f>IF(M364="","⏳ PENDENTE",IF(M364&gt;=G364,"✅ PAGO","⚠️ PARCIAL"))</f>
        <v/>
      </c>
    </row>
    <row r="365" ht="19" customHeight="1">
      <c r="A365" s="1" t="n"/>
      <c r="B365" s="49" t="n">
        <v>352</v>
      </c>
      <c r="C365" s="50">
        <f>IFERROR(TEXT(EDATE(DATE(VALUE(RIGHT(D5,4)),MATCH(LEFT(D5,3),{"Jan","Fev","Mar","Abr","Mai","Jun","Jul","Ago","Set","Out","Nov","Dez"},0),1),351),"mmm/yyyy")</f>
        <v/>
      </c>
      <c r="D365" s="51">
        <f>IFERROR(EDATE(DATE(VALUE(RIGHT(D5,4)),MATCH(LEFT(D5,3),{"Jan","Fev","Mar","Abr","Mai","Jun","Jul","Ago","Set","Out","Nov","Dez"},0),5),351),"—")</f>
        <v/>
      </c>
      <c r="E365" s="39">
        <f>$H$4</f>
        <v/>
      </c>
      <c r="F365" s="52">
        <f>IFERROR(F364-H364-J364,0)</f>
        <v/>
      </c>
      <c r="G365" s="53">
        <f>IF($H$4="PRICE",$L$4,IF($H$4="SAC",$L$5,0))</f>
        <v/>
      </c>
      <c r="H365" s="54">
        <f>IFERROR(IF($H$4="SAC",$D$4/$D$6,G365-I365-K365),0)</f>
        <v/>
      </c>
      <c r="I365" s="55">
        <f>IFERROR(F365*$D$7,0)</f>
        <v/>
      </c>
      <c r="J365" s="44" t="n"/>
      <c r="K365" s="56">
        <f>IFERROR($H$5,0)</f>
        <v/>
      </c>
      <c r="L365" s="46" t="n"/>
      <c r="M365" s="44" t="n"/>
      <c r="N365" s="47">
        <f>IFERROR(N364+M365,N364)</f>
        <v/>
      </c>
      <c r="O365" s="48">
        <f>IF(M365="","⏳ PENDENTE",IF(M365&gt;=G365,"✅ PAGO","⚠️ PARCIAL"))</f>
        <v/>
      </c>
    </row>
    <row r="366" ht="19" customHeight="1">
      <c r="A366" s="5" t="n"/>
      <c r="B366" s="36" t="n">
        <v>353</v>
      </c>
      <c r="C366" s="37">
        <f>IFERROR(TEXT(EDATE(DATE(VALUE(RIGHT(D5,4)),MATCH(LEFT(D5,3),{"Jan","Fev","Mar","Abr","Mai","Jun","Jul","Ago","Set","Out","Nov","Dez"},0),1),352),"mmm/yyyy")</f>
        <v/>
      </c>
      <c r="D366" s="38">
        <f>IFERROR(EDATE(DATE(VALUE(RIGHT(D5,4)),MATCH(LEFT(D5,3),{"Jan","Fev","Mar","Abr","Mai","Jun","Jul","Ago","Set","Out","Nov","Dez"},0),5),352),"—")</f>
        <v/>
      </c>
      <c r="E366" s="39">
        <f>$H$4</f>
        <v/>
      </c>
      <c r="F366" s="40">
        <f>IFERROR(F365-H365-J365,0)</f>
        <v/>
      </c>
      <c r="G366" s="41">
        <f>IF($H$4="PRICE",$L$4,IF($H$4="SAC",$L$5,0))</f>
        <v/>
      </c>
      <c r="H366" s="42">
        <f>IFERROR(IF($H$4="SAC",$D$4/$D$6,G366-I366-K366),0)</f>
        <v/>
      </c>
      <c r="I366" s="43">
        <f>IFERROR(F366*$D$7,0)</f>
        <v/>
      </c>
      <c r="J366" s="44" t="n"/>
      <c r="K366" s="45">
        <f>IFERROR($H$5,0)</f>
        <v/>
      </c>
      <c r="L366" s="46" t="n"/>
      <c r="M366" s="44" t="n"/>
      <c r="N366" s="47">
        <f>IFERROR(N365+M366,N365)</f>
        <v/>
      </c>
      <c r="O366" s="48">
        <f>IF(M366="","⏳ PENDENTE",IF(M366&gt;=G366,"✅ PAGO","⚠️ PARCIAL"))</f>
        <v/>
      </c>
    </row>
    <row r="367" ht="19" customHeight="1">
      <c r="A367" s="1" t="n"/>
      <c r="B367" s="49" t="n">
        <v>354</v>
      </c>
      <c r="C367" s="50">
        <f>IFERROR(TEXT(EDATE(DATE(VALUE(RIGHT(D5,4)),MATCH(LEFT(D5,3),{"Jan","Fev","Mar","Abr","Mai","Jun","Jul","Ago","Set","Out","Nov","Dez"},0),1),353),"mmm/yyyy")</f>
        <v/>
      </c>
      <c r="D367" s="51">
        <f>IFERROR(EDATE(DATE(VALUE(RIGHT(D5,4)),MATCH(LEFT(D5,3),{"Jan","Fev","Mar","Abr","Mai","Jun","Jul","Ago","Set","Out","Nov","Dez"},0),5),353),"—")</f>
        <v/>
      </c>
      <c r="E367" s="39">
        <f>$H$4</f>
        <v/>
      </c>
      <c r="F367" s="52">
        <f>IFERROR(F366-H366-J366,0)</f>
        <v/>
      </c>
      <c r="G367" s="53">
        <f>IF($H$4="PRICE",$L$4,IF($H$4="SAC",$L$5,0))</f>
        <v/>
      </c>
      <c r="H367" s="54">
        <f>IFERROR(IF($H$4="SAC",$D$4/$D$6,G367-I367-K367),0)</f>
        <v/>
      </c>
      <c r="I367" s="55">
        <f>IFERROR(F367*$D$7,0)</f>
        <v/>
      </c>
      <c r="J367" s="44" t="n"/>
      <c r="K367" s="56">
        <f>IFERROR($H$5,0)</f>
        <v/>
      </c>
      <c r="L367" s="46" t="n"/>
      <c r="M367" s="44" t="n"/>
      <c r="N367" s="47">
        <f>IFERROR(N366+M367,N366)</f>
        <v/>
      </c>
      <c r="O367" s="48">
        <f>IF(M367="","⏳ PENDENTE",IF(M367&gt;=G367,"✅ PAGO","⚠️ PARCIAL"))</f>
        <v/>
      </c>
    </row>
    <row r="368" ht="19" customHeight="1">
      <c r="A368" s="5" t="n"/>
      <c r="B368" s="36" t="n">
        <v>355</v>
      </c>
      <c r="C368" s="37">
        <f>IFERROR(TEXT(EDATE(DATE(VALUE(RIGHT(D5,4)),MATCH(LEFT(D5,3),{"Jan","Fev","Mar","Abr","Mai","Jun","Jul","Ago","Set","Out","Nov","Dez"},0),1),354),"mmm/yyyy")</f>
        <v/>
      </c>
      <c r="D368" s="38">
        <f>IFERROR(EDATE(DATE(VALUE(RIGHT(D5,4)),MATCH(LEFT(D5,3),{"Jan","Fev","Mar","Abr","Mai","Jun","Jul","Ago","Set","Out","Nov","Dez"},0),5),354),"—")</f>
        <v/>
      </c>
      <c r="E368" s="39">
        <f>$H$4</f>
        <v/>
      </c>
      <c r="F368" s="40">
        <f>IFERROR(F367-H367-J367,0)</f>
        <v/>
      </c>
      <c r="G368" s="41">
        <f>IF($H$4="PRICE",$L$4,IF($H$4="SAC",$L$5,0))</f>
        <v/>
      </c>
      <c r="H368" s="42">
        <f>IFERROR(IF($H$4="SAC",$D$4/$D$6,G368-I368-K368),0)</f>
        <v/>
      </c>
      <c r="I368" s="43">
        <f>IFERROR(F368*$D$7,0)</f>
        <v/>
      </c>
      <c r="J368" s="44" t="n"/>
      <c r="K368" s="45">
        <f>IFERROR($H$5,0)</f>
        <v/>
      </c>
      <c r="L368" s="46" t="n"/>
      <c r="M368" s="44" t="n"/>
      <c r="N368" s="47">
        <f>IFERROR(N367+M368,N367)</f>
        <v/>
      </c>
      <c r="O368" s="48">
        <f>IF(M368="","⏳ PENDENTE",IF(M368&gt;=G368,"✅ PAGO","⚠️ PARCIAL"))</f>
        <v/>
      </c>
    </row>
    <row r="369" ht="19" customHeight="1">
      <c r="A369" s="1" t="n"/>
      <c r="B369" s="49" t="n">
        <v>356</v>
      </c>
      <c r="C369" s="50">
        <f>IFERROR(TEXT(EDATE(DATE(VALUE(RIGHT(D5,4)),MATCH(LEFT(D5,3),{"Jan","Fev","Mar","Abr","Mai","Jun","Jul","Ago","Set","Out","Nov","Dez"},0),1),355),"mmm/yyyy")</f>
        <v/>
      </c>
      <c r="D369" s="51">
        <f>IFERROR(EDATE(DATE(VALUE(RIGHT(D5,4)),MATCH(LEFT(D5,3),{"Jan","Fev","Mar","Abr","Mai","Jun","Jul","Ago","Set","Out","Nov","Dez"},0),5),355),"—")</f>
        <v/>
      </c>
      <c r="E369" s="39">
        <f>$H$4</f>
        <v/>
      </c>
      <c r="F369" s="52">
        <f>IFERROR(F368-H368-J368,0)</f>
        <v/>
      </c>
      <c r="G369" s="53">
        <f>IF($H$4="PRICE",$L$4,IF($H$4="SAC",$L$5,0))</f>
        <v/>
      </c>
      <c r="H369" s="54">
        <f>IFERROR(IF($H$4="SAC",$D$4/$D$6,G369-I369-K369),0)</f>
        <v/>
      </c>
      <c r="I369" s="55">
        <f>IFERROR(F369*$D$7,0)</f>
        <v/>
      </c>
      <c r="J369" s="44" t="n"/>
      <c r="K369" s="56">
        <f>IFERROR($H$5,0)</f>
        <v/>
      </c>
      <c r="L369" s="46" t="n"/>
      <c r="M369" s="44" t="n"/>
      <c r="N369" s="47">
        <f>IFERROR(N368+M369,N368)</f>
        <v/>
      </c>
      <c r="O369" s="48">
        <f>IF(M369="","⏳ PENDENTE",IF(M369&gt;=G369,"✅ PAGO","⚠️ PARCIAL"))</f>
        <v/>
      </c>
    </row>
    <row r="370" ht="19" customHeight="1">
      <c r="A370" s="5" t="n"/>
      <c r="B370" s="36" t="n">
        <v>357</v>
      </c>
      <c r="C370" s="37">
        <f>IFERROR(TEXT(EDATE(DATE(VALUE(RIGHT(D5,4)),MATCH(LEFT(D5,3),{"Jan","Fev","Mar","Abr","Mai","Jun","Jul","Ago","Set","Out","Nov","Dez"},0),1),356),"mmm/yyyy")</f>
        <v/>
      </c>
      <c r="D370" s="38">
        <f>IFERROR(EDATE(DATE(VALUE(RIGHT(D5,4)),MATCH(LEFT(D5,3),{"Jan","Fev","Mar","Abr","Mai","Jun","Jul","Ago","Set","Out","Nov","Dez"},0),5),356),"—")</f>
        <v/>
      </c>
      <c r="E370" s="39">
        <f>$H$4</f>
        <v/>
      </c>
      <c r="F370" s="40">
        <f>IFERROR(F369-H369-J369,0)</f>
        <v/>
      </c>
      <c r="G370" s="41">
        <f>IF($H$4="PRICE",$L$4,IF($H$4="SAC",$L$5,0))</f>
        <v/>
      </c>
      <c r="H370" s="42">
        <f>IFERROR(IF($H$4="SAC",$D$4/$D$6,G370-I370-K370),0)</f>
        <v/>
      </c>
      <c r="I370" s="43">
        <f>IFERROR(F370*$D$7,0)</f>
        <v/>
      </c>
      <c r="J370" s="44" t="n"/>
      <c r="K370" s="45">
        <f>IFERROR($H$5,0)</f>
        <v/>
      </c>
      <c r="L370" s="46" t="n"/>
      <c r="M370" s="44" t="n"/>
      <c r="N370" s="47">
        <f>IFERROR(N369+M370,N369)</f>
        <v/>
      </c>
      <c r="O370" s="48">
        <f>IF(M370="","⏳ PENDENTE",IF(M370&gt;=G370,"✅ PAGO","⚠️ PARCIAL"))</f>
        <v/>
      </c>
    </row>
    <row r="371" ht="19" customHeight="1">
      <c r="A371" s="1" t="n"/>
      <c r="B371" s="49" t="n">
        <v>358</v>
      </c>
      <c r="C371" s="50">
        <f>IFERROR(TEXT(EDATE(DATE(VALUE(RIGHT(D5,4)),MATCH(LEFT(D5,3),{"Jan","Fev","Mar","Abr","Mai","Jun","Jul","Ago","Set","Out","Nov","Dez"},0),1),357),"mmm/yyyy")</f>
        <v/>
      </c>
      <c r="D371" s="51">
        <f>IFERROR(EDATE(DATE(VALUE(RIGHT(D5,4)),MATCH(LEFT(D5,3),{"Jan","Fev","Mar","Abr","Mai","Jun","Jul","Ago","Set","Out","Nov","Dez"},0),5),357),"—")</f>
        <v/>
      </c>
      <c r="E371" s="39">
        <f>$H$4</f>
        <v/>
      </c>
      <c r="F371" s="52">
        <f>IFERROR(F370-H370-J370,0)</f>
        <v/>
      </c>
      <c r="G371" s="53">
        <f>IF($H$4="PRICE",$L$4,IF($H$4="SAC",$L$5,0))</f>
        <v/>
      </c>
      <c r="H371" s="54">
        <f>IFERROR(IF($H$4="SAC",$D$4/$D$6,G371-I371-K371),0)</f>
        <v/>
      </c>
      <c r="I371" s="55">
        <f>IFERROR(F371*$D$7,0)</f>
        <v/>
      </c>
      <c r="J371" s="44" t="n"/>
      <c r="K371" s="56">
        <f>IFERROR($H$5,0)</f>
        <v/>
      </c>
      <c r="L371" s="46" t="n"/>
      <c r="M371" s="44" t="n"/>
      <c r="N371" s="47">
        <f>IFERROR(N370+M371,N370)</f>
        <v/>
      </c>
      <c r="O371" s="48">
        <f>IF(M371="","⏳ PENDENTE",IF(M371&gt;=G371,"✅ PAGO","⚠️ PARCIAL"))</f>
        <v/>
      </c>
    </row>
    <row r="372" ht="19" customHeight="1">
      <c r="A372" s="5" t="n"/>
      <c r="B372" s="36" t="n">
        <v>359</v>
      </c>
      <c r="C372" s="37">
        <f>IFERROR(TEXT(EDATE(DATE(VALUE(RIGHT(D5,4)),MATCH(LEFT(D5,3),{"Jan","Fev","Mar","Abr","Mai","Jun","Jul","Ago","Set","Out","Nov","Dez"},0),1),358),"mmm/yyyy")</f>
        <v/>
      </c>
      <c r="D372" s="38">
        <f>IFERROR(EDATE(DATE(VALUE(RIGHT(D5,4)),MATCH(LEFT(D5,3),{"Jan","Fev","Mar","Abr","Mai","Jun","Jul","Ago","Set","Out","Nov","Dez"},0),5),358),"—")</f>
        <v/>
      </c>
      <c r="E372" s="39">
        <f>$H$4</f>
        <v/>
      </c>
      <c r="F372" s="40">
        <f>IFERROR(F371-H371-J371,0)</f>
        <v/>
      </c>
      <c r="G372" s="41">
        <f>IF($H$4="PRICE",$L$4,IF($H$4="SAC",$L$5,0))</f>
        <v/>
      </c>
      <c r="H372" s="42">
        <f>IFERROR(IF($H$4="SAC",$D$4/$D$6,G372-I372-K372),0)</f>
        <v/>
      </c>
      <c r="I372" s="43">
        <f>IFERROR(F372*$D$7,0)</f>
        <v/>
      </c>
      <c r="J372" s="44" t="n"/>
      <c r="K372" s="45">
        <f>IFERROR($H$5,0)</f>
        <v/>
      </c>
      <c r="L372" s="46" t="n"/>
      <c r="M372" s="44" t="n"/>
      <c r="N372" s="47">
        <f>IFERROR(N371+M372,N371)</f>
        <v/>
      </c>
      <c r="O372" s="48">
        <f>IF(M372="","⏳ PENDENTE",IF(M372&gt;=G372,"✅ PAGO","⚠️ PARCIAL"))</f>
        <v/>
      </c>
    </row>
    <row r="373" ht="19" customHeight="1">
      <c r="A373" s="1" t="n"/>
      <c r="B373" s="49" t="n">
        <v>360</v>
      </c>
      <c r="C373" s="50">
        <f>IFERROR(TEXT(EDATE(DATE(VALUE(RIGHT(D5,4)),MATCH(LEFT(D5,3),{"Jan","Fev","Mar","Abr","Mai","Jun","Jul","Ago","Set","Out","Nov","Dez"},0),1),359),"mmm/yyyy")</f>
        <v/>
      </c>
      <c r="D373" s="51">
        <f>IFERROR(EDATE(DATE(VALUE(RIGHT(D5,4)),MATCH(LEFT(D5,3),{"Jan","Fev","Mar","Abr","Mai","Jun","Jul","Ago","Set","Out","Nov","Dez"},0),5),359),"—")</f>
        <v/>
      </c>
      <c r="E373" s="39">
        <f>$H$4</f>
        <v/>
      </c>
      <c r="F373" s="52">
        <f>IFERROR(F372-H372-J372,0)</f>
        <v/>
      </c>
      <c r="G373" s="53">
        <f>IF($H$4="PRICE",$L$4,IF($H$4="SAC",$L$5,0))</f>
        <v/>
      </c>
      <c r="H373" s="54">
        <f>IFERROR(IF($H$4="SAC",$D$4/$D$6,G373-I373-K373),0)</f>
        <v/>
      </c>
      <c r="I373" s="55">
        <f>IFERROR(F373*$D$7,0)</f>
        <v/>
      </c>
      <c r="J373" s="44" t="n"/>
      <c r="K373" s="56">
        <f>IFERROR($H$5,0)</f>
        <v/>
      </c>
      <c r="L373" s="46" t="n"/>
      <c r="M373" s="44" t="n"/>
      <c r="N373" s="47">
        <f>IFERROR(N372+M373,N372)</f>
        <v/>
      </c>
      <c r="O373" s="48">
        <f>IF(M373="","⏳ PENDENTE",IF(M373&gt;=G373,"✅ PAGO","⚠️ PARCIAL"))</f>
        <v/>
      </c>
    </row>
    <row r="374" ht="26" customHeight="1">
      <c r="A374" s="5" t="n"/>
      <c r="B374" s="57" t="inlineStr">
        <is>
          <t>🏆 TOTAIS</t>
        </is>
      </c>
      <c r="C374" s="58" t="n"/>
      <c r="D374" s="58" t="n"/>
      <c r="E374" s="16" t="n"/>
      <c r="F374" s="59" t="inlineStr">
        <is>
          <t>SALDO ↑</t>
        </is>
      </c>
      <c r="G374" s="60">
        <f>SUM(G14:G373)</f>
        <v/>
      </c>
      <c r="H374" s="60">
        <f>SUM(H14:H373)</f>
        <v/>
      </c>
      <c r="I374" s="60">
        <f>SUM(I14:I373)</f>
        <v/>
      </c>
      <c r="J374" s="60">
        <f>SUM(J14:J373)</f>
        <v/>
      </c>
      <c r="K374" s="60">
        <f>SUM(K14:K373)</f>
        <v/>
      </c>
      <c r="M374" s="60">
        <f>SUM(M14:M373)</f>
        <v/>
      </c>
    </row>
    <row r="375" ht="18" customHeight="1">
      <c r="A375" s="1" t="n"/>
    </row>
    <row r="376" ht="22" customHeight="1">
      <c r="A376" s="5" t="n"/>
      <c r="B376" s="61" t="inlineStr">
        <is>
          <t>🎨  LEGENDA:</t>
        </is>
      </c>
    </row>
    <row r="377" ht="18" customHeight="1">
      <c r="A377" s="1" t="n"/>
      <c r="B377" s="62" t="inlineStr">
        <is>
          <t>   </t>
        </is>
      </c>
      <c r="C377" s="63" t="inlineStr">
        <is>
          <t>✏️  Amarelo / laranja → Célula de entrada (você preenche aqui)</t>
        </is>
      </c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  <c r="N377" s="16" t="n"/>
    </row>
    <row r="378" ht="18" customHeight="1">
      <c r="A378" s="5" t="n"/>
      <c r="B378" s="64" t="inlineStr">
        <is>
          <t>   </t>
        </is>
      </c>
      <c r="C378" s="65" t="inlineStr">
        <is>
          <t>🟢  Verde claro → Amortização / valores calculados positivos</t>
        </is>
      </c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  <c r="N378" s="16" t="n"/>
    </row>
    <row r="379" ht="18" customHeight="1">
      <c r="A379" s="1" t="n"/>
      <c r="B379" s="66" t="inlineStr">
        <is>
          <t>   </t>
        </is>
      </c>
      <c r="C379" s="67" t="inlineStr">
        <is>
          <t>🔴  Vermelho claro → Juros (diminui com SAC ao longo do tempo)</t>
        </is>
      </c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  <c r="N379" s="16" t="n"/>
    </row>
    <row r="380" ht="18" customHeight="1">
      <c r="A380" s="5" t="n"/>
      <c r="B380" s="68" t="inlineStr">
        <is>
          <t>   </t>
        </is>
      </c>
      <c r="C380" s="69" t="inlineStr">
        <is>
          <t>🔵  Azul claro → Saldo devedor (barra visual mostra quanto falta)</t>
        </is>
      </c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  <c r="N380" s="16" t="n"/>
    </row>
    <row r="381" ht="18" customHeight="1">
      <c r="A381" s="1" t="n"/>
      <c r="B381" s="70" t="inlineStr">
        <is>
          <t>   </t>
        </is>
      </c>
      <c r="C381" s="71" t="inlineStr">
        <is>
          <t>✅  Verde escuro → Parcela PAGA</t>
        </is>
      </c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  <c r="N381" s="16" t="n"/>
    </row>
    <row r="382" ht="18" customHeight="1">
      <c r="A382" s="5" t="n"/>
      <c r="B382" s="72" t="inlineStr">
        <is>
          <t>   </t>
        </is>
      </c>
      <c r="C382" s="73" t="inlineStr">
        <is>
          <t>⏳  Amarelo → Parcela PENDENTE</t>
        </is>
      </c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  <c r="N382" s="16" t="n"/>
    </row>
    <row r="383" ht="18" customHeight="1">
      <c r="A383" s="1" t="n"/>
      <c r="B383" s="66" t="inlineStr">
        <is>
          <t>   </t>
        </is>
      </c>
      <c r="C383" s="74" t="inlineStr">
        <is>
          <t>⚠️   Vermelho → Parcela PARCIAL (valor pago menor que parcela)</t>
        </is>
      </c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  <c r="N383" s="16" t="n"/>
    </row>
    <row r="384" ht="18" customHeight="1">
      <c r="A384" s="5" t="n"/>
    </row>
    <row r="385" ht="18" customHeight="1">
      <c r="A385" s="1" t="n"/>
    </row>
    <row r="386" ht="18" customHeight="1">
      <c r="A386" s="5" t="n"/>
    </row>
    <row r="387" ht="18" customHeight="1">
      <c r="A387" s="1" t="n"/>
    </row>
    <row r="388" ht="18" customHeight="1">
      <c r="A388" s="5" t="n"/>
    </row>
    <row r="389" ht="18" customHeight="1">
      <c r="A389" s="1" t="n"/>
    </row>
    <row r="390" ht="18" customHeight="1">
      <c r="A390" s="5" t="n"/>
    </row>
    <row r="391" ht="18" customHeight="1">
      <c r="A391" s="1" t="n"/>
    </row>
    <row r="392" ht="18" customHeight="1">
      <c r="A392" s="5" t="n"/>
    </row>
    <row r="393" ht="18" customHeight="1">
      <c r="A393" s="1" t="n"/>
    </row>
    <row r="394" ht="18" customHeight="1">
      <c r="A394" s="5" t="n"/>
    </row>
    <row r="395" ht="18" customHeight="1">
      <c r="A395" s="1" t="n"/>
    </row>
    <row r="396" ht="18" customHeight="1">
      <c r="A396" s="5" t="n"/>
    </row>
    <row r="397" ht="18" customHeight="1">
      <c r="A397" s="1" t="n"/>
    </row>
    <row r="398" ht="18" customHeight="1">
      <c r="A398" s="5" t="n"/>
    </row>
    <row r="399" ht="18" customHeight="1">
      <c r="A399" s="1" t="n"/>
    </row>
    <row r="400" ht="18" customHeight="1">
      <c r="A400" s="5" t="n"/>
    </row>
    <row r="401" ht="18" customHeight="1">
      <c r="A401" s="1" t="n"/>
    </row>
    <row r="402" ht="18" customHeight="1">
      <c r="A402" s="5" t="n"/>
    </row>
    <row r="403" ht="18" customHeight="1">
      <c r="A403" s="1" t="n"/>
    </row>
    <row r="404" ht="18" customHeight="1">
      <c r="A404" s="5" t="n"/>
    </row>
    <row r="405" ht="18" customHeight="1">
      <c r="A405" s="1" t="n"/>
    </row>
    <row r="406" ht="18" customHeight="1">
      <c r="A406" s="5" t="n"/>
    </row>
    <row r="407" ht="18" customHeight="1">
      <c r="A407" s="1" t="n"/>
    </row>
    <row r="408" ht="18" customHeight="1">
      <c r="A408" s="5" t="n"/>
    </row>
    <row r="409" ht="18" customHeight="1">
      <c r="A409" s="1" t="n"/>
    </row>
    <row r="410" ht="18" customHeight="1">
      <c r="A410" s="5" t="n"/>
    </row>
    <row r="411" ht="18" customHeight="1">
      <c r="A411" s="1" t="n"/>
    </row>
    <row r="412" ht="18" customHeight="1">
      <c r="A412" s="5" t="n"/>
    </row>
    <row r="413" ht="18" customHeight="1">
      <c r="A413" s="1" t="n"/>
    </row>
    <row r="414" ht="18" customHeight="1">
      <c r="A414" s="5" t="n"/>
    </row>
    <row r="415" ht="18" customHeight="1">
      <c r="A415" s="1" t="n"/>
    </row>
    <row r="416" ht="18" customHeight="1">
      <c r="A416" s="5" t="n"/>
    </row>
    <row r="417" ht="18" customHeight="1">
      <c r="A417" s="1" t="n"/>
    </row>
    <row r="418" ht="18" customHeight="1">
      <c r="A418" s="5" t="n"/>
    </row>
    <row r="419" ht="18" customHeight="1">
      <c r="A419" s="1" t="n"/>
    </row>
    <row r="420" ht="18" customHeight="1">
      <c r="A420" s="5" t="n"/>
    </row>
    <row r="421" ht="18" customHeight="1">
      <c r="A421" s="1" t="n"/>
    </row>
    <row r="422" ht="18" customHeight="1">
      <c r="A422" s="5" t="n"/>
    </row>
    <row r="423" ht="18" customHeight="1">
      <c r="A423" s="1" t="n"/>
    </row>
    <row r="424" ht="18" customHeight="1">
      <c r="A424" s="5" t="n"/>
    </row>
    <row r="425" ht="18" customHeight="1">
      <c r="A425" s="1" t="n"/>
    </row>
    <row r="426" ht="18" customHeight="1">
      <c r="A426" s="5" t="n"/>
    </row>
    <row r="427" ht="18" customHeight="1">
      <c r="A427" s="1" t="n"/>
    </row>
    <row r="428" ht="18" customHeight="1">
      <c r="A428" s="5" t="n"/>
    </row>
    <row r="429" ht="18" customHeight="1">
      <c r="A429" s="1" t="n"/>
    </row>
    <row r="430" ht="18" customHeight="1">
      <c r="A430" s="5" t="n"/>
    </row>
    <row r="431" ht="18" customHeight="1">
      <c r="A431" s="1" t="n"/>
    </row>
    <row r="432" ht="18" customHeight="1">
      <c r="A432" s="5" t="n"/>
    </row>
    <row r="433" ht="18" customHeight="1">
      <c r="A433" s="1" t="n"/>
    </row>
    <row r="434" ht="18" customHeight="1">
      <c r="A434" s="5" t="n"/>
    </row>
    <row r="435" ht="18" customHeight="1">
      <c r="A435" s="1" t="n"/>
    </row>
    <row r="436" ht="18" customHeight="1">
      <c r="A436" s="5" t="n"/>
    </row>
    <row r="437" ht="18" customHeight="1">
      <c r="A437" s="1" t="n"/>
    </row>
    <row r="438" ht="18" customHeight="1">
      <c r="A438" s="5" t="n"/>
    </row>
    <row r="439" ht="18" customHeight="1">
      <c r="A439" s="1" t="n"/>
    </row>
    <row r="440" ht="18" customHeight="1">
      <c r="A440" s="5" t="n"/>
    </row>
    <row r="441" ht="18" customHeight="1">
      <c r="A441" s="1" t="n"/>
    </row>
    <row r="442" ht="18" customHeight="1">
      <c r="A442" s="5" t="n"/>
    </row>
    <row r="443" ht="18" customHeight="1">
      <c r="A443" s="1" t="n"/>
    </row>
    <row r="444" ht="18" customHeight="1">
      <c r="A444" s="5" t="n"/>
    </row>
    <row r="445" ht="18" customHeight="1">
      <c r="A445" s="1" t="n"/>
    </row>
    <row r="446" ht="18" customHeight="1">
      <c r="A446" s="5" t="n"/>
    </row>
    <row r="447" ht="18" customHeight="1">
      <c r="A447" s="1" t="n"/>
    </row>
    <row r="448" ht="18" customHeight="1">
      <c r="A448" s="5" t="n"/>
    </row>
    <row r="449" ht="18" customHeight="1">
      <c r="A449" s="1" t="n"/>
    </row>
  </sheetData>
  <mergeCells count="38">
    <mergeCell ref="F4:G4"/>
    <mergeCell ref="F11:G11"/>
    <mergeCell ref="D10:E10"/>
    <mergeCell ref="B7:C7"/>
    <mergeCell ref="J5:K5"/>
    <mergeCell ref="F10:G10"/>
    <mergeCell ref="C383:N383"/>
    <mergeCell ref="H10:I10"/>
    <mergeCell ref="C382:N382"/>
    <mergeCell ref="L5:N5"/>
    <mergeCell ref="J10:K10"/>
    <mergeCell ref="F6:G6"/>
    <mergeCell ref="L4:N4"/>
    <mergeCell ref="B374:E374"/>
    <mergeCell ref="C379:N379"/>
    <mergeCell ref="B11:C11"/>
    <mergeCell ref="J6:K6"/>
    <mergeCell ref="D11:E11"/>
    <mergeCell ref="C380:N380"/>
    <mergeCell ref="F5:G5"/>
    <mergeCell ref="L6:N6"/>
    <mergeCell ref="B3:N3"/>
    <mergeCell ref="H11:I11"/>
    <mergeCell ref="J4:K4"/>
    <mergeCell ref="J11:K11"/>
    <mergeCell ref="L10:M10"/>
    <mergeCell ref="J7:K7"/>
    <mergeCell ref="B10:C10"/>
    <mergeCell ref="C381:N381"/>
    <mergeCell ref="L7:N7"/>
    <mergeCell ref="B6:C6"/>
    <mergeCell ref="B1:N1"/>
    <mergeCell ref="B5:C5"/>
    <mergeCell ref="C378:N378"/>
    <mergeCell ref="L11:M11"/>
    <mergeCell ref="C377:N377"/>
    <mergeCell ref="B376:N376"/>
    <mergeCell ref="B4:C4"/>
  </mergeCells>
  <conditionalFormatting sqref="O14:O373">
    <cfRule type="expression" priority="1" dxfId="0">
      <formula>O14="✅ PAGO"</formula>
    </cfRule>
    <cfRule type="expression" priority="2" dxfId="1">
      <formula>O14="⚠️ PARCIAL"</formula>
    </cfRule>
    <cfRule type="expression" priority="3" dxfId="2">
      <formula>O14="⏳ PENDENTE"</formula>
    </cfRule>
  </conditionalFormatting>
  <conditionalFormatting sqref="B14:N373">
    <cfRule type="expression" priority="4" dxfId="3">
      <formula>$N14="✅ PAGO"</formula>
    </cfRule>
  </conditionalFormatting>
  <conditionalFormatting sqref="F14:F373">
    <cfRule type="dataBar" priority="5">
      <dataBar minLength="0" maxLength="100" showValue="1">
        <cfvo type="num" val="0"/>
        <cfvo type="max"/>
        <color rgb="003A86FF"/>
      </dataBar>
    </cfRule>
  </conditionalFormatting>
  <conditionalFormatting sqref="I14:I373">
    <cfRule type="dataBar" priority="6">
      <dataBar minLength="0" maxLength="100" showValue="1">
        <cfvo type="num" val="0"/>
        <cfvo type="max"/>
        <color rgb="00FF6B6B"/>
      </dataBar>
    </cfRule>
  </conditionalFormatting>
  <conditionalFormatting sqref="H14:H373">
    <cfRule type="colorScale" priority="7">
      <colorScale>
        <cfvo type="min"/>
        <cfvo type="max"/>
        <color rgb="FFE0FFEF"/>
        <color rgb="FF06D6A0"/>
      </colorScale>
    </cfRule>
  </conditionalFormatting>
  <dataValidations count="1">
    <dataValidation sqref="H4" showDropDown="0" showInputMessage="0" showErrorMessage="0" allowBlank="0" type="list">
      <formula1>"SAC,PRICE"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2026-04-27T17:38:32Z</dcterms:created>
  <dcterms:modified xsi:type="dcterms:W3CDTF">2026-04-27T17:38:34Z</dcterms:modified>
</cp:coreProperties>
</file>